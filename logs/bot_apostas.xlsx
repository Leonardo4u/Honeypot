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nais Completos" sheetId="2" state="visible" r:id="rId2"/>
    <sheet xmlns:r="http://schemas.openxmlformats.org/officeDocument/2006/relationships" name="Março 2026" sheetId="3" state="visible" r:id="rId3"/>
    <sheet xmlns:r="http://schemas.openxmlformats.org/officeDocument/2006/relationships" name="Gestão de Banca" sheetId="4" state="visible" r:id="rId4"/>
    <sheet xmlns:r="http://schemas.openxmlformats.org/officeDocument/2006/relationships" name="CLV &amp; Brier Score" sheetId="5" state="visible" r:id="rId5"/>
    <sheet xmlns:r="http://schemas.openxmlformats.org/officeDocument/2006/relationships" name="Steam &amp; SOS" sheetId="6" state="visible" r:id="rId6"/>
    <sheet xmlns:r="http://schemas.openxmlformats.org/officeDocument/2006/relationships" name="Monitoramento 72h" sheetId="7" state="visible" r:id="rId7"/>
  </sheets>
  <definedNames>
    <definedName name="_xlnm._FilterDatabase" localSheetId="1" hidden="1">'Sinais Completos'!$A$1:$V$1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9"/>
    </font>
    <font>
      <name val="Calibri"/>
      <b val="1"/>
      <color rgb="001a3a5c"/>
      <sz val="15"/>
    </font>
    <font>
      <name val="Calibri"/>
      <b val="1"/>
      <color rgb="002E75B6"/>
      <sz val="15"/>
    </font>
    <font>
      <name val="Calibri"/>
      <b val="1"/>
      <color rgb="00276221"/>
      <sz val="15"/>
    </font>
    <font>
      <name val="Calibri"/>
      <b val="1"/>
      <color rgb="007030A0"/>
      <sz val="15"/>
    </font>
    <font>
      <name val="Calibri"/>
      <b val="1"/>
      <color rgb="009C0006"/>
      <sz val="15"/>
    </font>
    <font>
      <name val="Calibri"/>
      <b val="1"/>
      <color rgb="009C5700"/>
      <sz val="15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color rgb="001a3a5c"/>
      <sz val="10"/>
    </font>
    <font>
      <name val="Calibri"/>
      <b val="1"/>
      <color rgb="009C5700"/>
      <sz val="10"/>
    </font>
    <font>
      <name val="Calibri"/>
      <b val="1"/>
      <color rgb="009C0006"/>
      <sz val="10"/>
    </font>
    <font>
      <name val="Calibri"/>
      <b val="1"/>
      <color rgb="00000000"/>
      <sz val="10"/>
    </font>
    <font>
      <name val="Calibri"/>
      <b val="1"/>
      <color rgb="00276221"/>
      <sz val="10"/>
    </font>
    <font>
      <name val="Calibri"/>
      <color rgb="00000000"/>
      <sz val="10"/>
    </font>
    <font>
      <name val="Calibri"/>
      <b val="1"/>
      <color rgb="00FFFFFF"/>
      <sz val="16"/>
    </font>
    <font>
      <name val="Calibri"/>
      <b val="1"/>
      <color rgb="001a3a5c"/>
      <sz val="13"/>
    </font>
    <font>
      <name val="Calibri"/>
      <b val="1"/>
      <color rgb="00276221"/>
      <sz val="13"/>
    </font>
    <font>
      <name val="Calibri"/>
      <b val="1"/>
      <color rgb="009C0006"/>
      <sz val="13"/>
    </font>
    <font>
      <name val="Calibri"/>
      <b val="1"/>
      <color rgb="007030A0"/>
      <sz val="13"/>
    </font>
    <font>
      <name val="Calibri"/>
      <b val="1"/>
      <sz val="10"/>
    </font>
    <font>
      <name val="Calibri"/>
      <b val="1"/>
      <color rgb="00FFFFFF"/>
      <sz val="15"/>
    </font>
    <font>
      <name val="Calibri"/>
      <b val="1"/>
      <color rgb="00000000"/>
      <sz val="11"/>
    </font>
    <font>
      <name val="Calibri"/>
      <b val="1"/>
      <color rgb="000000FF"/>
      <sz val="11"/>
    </font>
    <font>
      <name val="Calibri"/>
      <i val="1"/>
      <color rgb="00666666"/>
      <sz val="10"/>
    </font>
    <font>
      <name val="Calibri"/>
      <color rgb="00000000"/>
      <sz val="11"/>
    </font>
    <font>
      <name val="Calibri"/>
      <b val="1"/>
      <color rgb="001a3a5c"/>
      <sz val="11"/>
    </font>
    <font>
      <name val="Calibri"/>
      <color rgb="009C0006"/>
      <sz val="10"/>
    </font>
    <font>
      <name val="Calibri"/>
      <b val="1"/>
      <color rgb="00555555"/>
      <sz val="10"/>
    </font>
    <font>
      <name val="Calibri"/>
      <b val="1"/>
      <color rgb="001a3a5c"/>
      <sz val="10"/>
    </font>
    <font>
      <name val="Calibri"/>
      <i val="1"/>
      <sz val="10"/>
    </font>
    <font>
      <name val="Calibri"/>
      <color rgb="009C5700"/>
      <sz val="10"/>
    </font>
    <font>
      <name val="Calibri"/>
      <color rgb="00276221"/>
      <sz val="10"/>
    </font>
  </fonts>
  <fills count="17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DEEAF1"/>
        <bgColor rgb="00DEEAF1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1D9E75"/>
        <bgColor rgb="001D9E75"/>
      </patternFill>
    </fill>
    <fill>
      <patternFill patternType="solid">
        <fgColor rgb="00C6EFCE"/>
        <bgColor rgb="00C6EFCE"/>
      </patternFill>
    </fill>
    <fill>
      <patternFill patternType="solid">
        <fgColor rgb="007030A0"/>
        <bgColor rgb="007030A0"/>
      </patternFill>
    </fill>
    <fill>
      <patternFill patternType="solid">
        <fgColor rgb="00EAD1DC"/>
        <bgColor rgb="00EAD1DC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FFC000"/>
        <bgColor rgb="00FFC000"/>
      </patternFill>
    </fill>
    <fill>
      <patternFill patternType="solid">
        <fgColor rgb="00FFEB9C"/>
        <bgColor rgb="00FFEB9C"/>
      </patternFill>
    </fill>
    <fill>
      <patternFill patternType="solid">
        <fgColor rgb="00f8f8f8"/>
        <bgColor rgb="00f8f8f8"/>
      </patternFill>
    </fill>
    <fill>
      <patternFill patternType="solid">
        <fgColor rgb="00FFD700"/>
        <bgColor rgb="00FFD700"/>
      </patternFill>
    </fill>
    <fill>
      <patternFill patternType="solid">
        <fgColor rgb="00FFFF00"/>
        <bgColor rgb="00FFFF00"/>
      </patternFill>
    </fill>
  </fills>
  <borders count="30">
    <border>
      <left/>
      <right/>
      <top/>
      <bottom/>
      <diagonal/>
    </border>
    <border>
      <left style="medium">
        <color rgb="001a3a5c"/>
      </left>
      <right style="medium">
        <color rgb="001a3a5c"/>
      </right>
      <bottom style="medium">
        <color rgb="001a3a5c"/>
      </bottom>
    </border>
    <border>
      <left style="medium">
        <color rgb="002E75B6"/>
      </left>
      <right style="medium">
        <color rgb="002E75B6"/>
      </right>
      <bottom style="medium">
        <color rgb="002E75B6"/>
      </bottom>
    </border>
    <border>
      <left style="medium">
        <color rgb="001D9E75"/>
      </left>
      <right style="medium">
        <color rgb="001D9E75"/>
      </right>
      <bottom style="medium">
        <color rgb="001D9E75"/>
      </bottom>
    </border>
    <border>
      <left style="medium">
        <color rgb="007030A0"/>
      </left>
      <right style="medium">
        <color rgb="007030A0"/>
      </right>
      <bottom style="medium">
        <color rgb="007030A0"/>
      </bottom>
    </border>
    <border>
      <left style="medium">
        <color rgb="00C00000"/>
      </left>
      <right style="medium">
        <color rgb="00C00000"/>
      </right>
      <bottom style="medium">
        <color rgb="00C00000"/>
      </bottom>
    </border>
    <border>
      <left style="medium">
        <color rgb="00FFC000"/>
      </left>
      <right style="medium">
        <color rgb="00FFC000"/>
      </right>
      <bottom style="medium">
        <color rgb="00FFC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 style="medium">
        <color rgb="001D9E75"/>
      </right>
      <top/>
      <bottom/>
      <diagonal/>
    </border>
    <border>
      <left/>
      <right/>
      <top/>
      <bottom style="medium">
        <color rgb="001D9E75"/>
      </bottom>
      <diagonal/>
    </border>
    <border>
      <left/>
      <right style="medium">
        <color rgb="001D9E75"/>
      </right>
      <top/>
      <bottom style="medium">
        <color rgb="001D9E75"/>
      </bottom>
      <diagonal/>
    </border>
    <border>
      <left/>
      <right style="medium">
        <color rgb="00FFC000"/>
      </right>
      <top/>
      <bottom/>
      <diagonal/>
    </border>
    <border>
      <left/>
      <right/>
      <top/>
      <bottom style="medium">
        <color rgb="00FFC000"/>
      </bottom>
      <diagonal/>
    </border>
    <border>
      <left/>
      <right style="medium">
        <color rgb="00FFC000"/>
      </right>
      <top/>
      <bottom style="medium">
        <color rgb="00FFC000"/>
      </bottom>
      <diagonal/>
    </border>
    <border>
      <left/>
      <right style="medium">
        <color rgb="00C00000"/>
      </right>
      <top/>
      <bottom/>
      <diagonal/>
    </border>
    <border>
      <left/>
      <right/>
      <top/>
      <bottom style="medium">
        <color rgb="00C00000"/>
      </bottom>
      <diagonal/>
    </border>
    <border>
      <left/>
      <right style="medium">
        <color rgb="00C00000"/>
      </right>
      <top/>
      <bottom style="medium">
        <color rgb="00C00000"/>
      </bottom>
      <diagonal/>
    </border>
    <border>
      <left/>
      <right style="medium">
        <color rgb="001a3a5c"/>
      </right>
      <top/>
      <bottom/>
      <diagonal/>
    </border>
    <border>
      <left/>
      <right/>
      <top/>
      <bottom style="medium">
        <color rgb="001a3a5c"/>
      </bottom>
      <diagonal/>
    </border>
    <border>
      <left/>
      <right style="medium">
        <color rgb="001a3a5c"/>
      </right>
      <top/>
      <bottom style="medium">
        <color rgb="001a3a5c"/>
      </bottom>
      <diagonal/>
    </border>
    <border>
      <left/>
      <right style="medium">
        <color rgb="002E75B6"/>
      </right>
      <top/>
      <bottom/>
      <diagonal/>
    </border>
    <border>
      <left/>
      <right/>
      <top/>
      <bottom style="medium">
        <color rgb="002E75B6"/>
      </bottom>
      <diagonal/>
    </border>
    <border>
      <left/>
      <right style="medium">
        <color rgb="002E75B6"/>
      </right>
      <top/>
      <bottom style="medium">
        <color rgb="002E75B6"/>
      </bottom>
      <diagonal/>
    </border>
    <border>
      <left/>
      <right style="medium">
        <color rgb="007030A0"/>
      </right>
      <top/>
      <bottom/>
      <diagonal/>
    </border>
    <border>
      <left/>
      <right/>
      <top/>
      <bottom style="medium">
        <color rgb="007030A0"/>
      </bottom>
      <diagonal/>
    </border>
    <border>
      <left/>
      <right style="medium">
        <color rgb="007030A0"/>
      </right>
      <top/>
      <bottom style="medium">
        <color rgb="007030A0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6" fillId="9" borderId="4" applyAlignment="1" pivotButton="0" quotePrefix="0" xfId="0">
      <alignment horizontal="center" vertical="center"/>
    </xf>
    <xf numFmtId="0" fontId="7" fillId="11" borderId="5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8" fillId="13" borderId="6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4" borderId="7" applyAlignment="1" pivotButton="0" quotePrefix="0" xfId="0">
      <alignment horizontal="center" vertical="center"/>
    </xf>
    <xf numFmtId="0" fontId="11" fillId="14" borderId="7" applyAlignment="1" pivotButton="0" quotePrefix="0" xfId="0">
      <alignment horizontal="left" vertical="center"/>
    </xf>
    <xf numFmtId="0" fontId="11" fillId="14" borderId="7" applyAlignment="1" pivotButton="0" quotePrefix="0" xfId="0">
      <alignment horizontal="center" vertical="center"/>
    </xf>
    <xf numFmtId="0" fontId="11" fillId="5" borderId="7" applyAlignment="1" pivotButton="0" quotePrefix="0" xfId="0">
      <alignment horizontal="left" vertical="center"/>
    </xf>
    <xf numFmtId="0" fontId="11" fillId="5" borderId="7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12" fillId="3" borderId="7" applyAlignment="1" pivotButton="0" quotePrefix="0" xfId="0">
      <alignment horizontal="center" vertical="center"/>
    </xf>
    <xf numFmtId="0" fontId="13" fillId="13" borderId="7" applyAlignment="1" pivotButton="0" quotePrefix="0" xfId="0">
      <alignment horizontal="center" vertical="center"/>
    </xf>
    <xf numFmtId="0" fontId="14" fillId="11" borderId="7" applyAlignment="1" pivotButton="0" quotePrefix="0" xfId="0">
      <alignment horizontal="center" vertical="center"/>
    </xf>
    <xf numFmtId="0" fontId="15" fillId="15" borderId="7" applyAlignment="1" pivotButton="0" quotePrefix="0" xfId="0">
      <alignment horizontal="center" vertical="center"/>
    </xf>
    <xf numFmtId="0" fontId="16" fillId="7" borderId="7" applyAlignment="1" pivotButton="0" quotePrefix="0" xfId="0">
      <alignment horizontal="center" vertical="center"/>
    </xf>
    <xf numFmtId="0" fontId="17" fillId="14" borderId="7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3" borderId="7" applyAlignment="1" pivotButton="0" quotePrefix="0" xfId="0">
      <alignment horizontal="center" vertical="center"/>
    </xf>
    <xf numFmtId="0" fontId="20" fillId="7" borderId="7" applyAlignment="1" pivotButton="0" quotePrefix="0" xfId="0">
      <alignment horizontal="center" vertical="center"/>
    </xf>
    <xf numFmtId="0" fontId="21" fillId="11" borderId="7" applyAlignment="1" pivotButton="0" quotePrefix="0" xfId="0">
      <alignment horizontal="center" vertical="center"/>
    </xf>
    <xf numFmtId="0" fontId="22" fillId="9" borderId="7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/>
    </xf>
    <xf numFmtId="0" fontId="11" fillId="3" borderId="7" applyAlignment="1" pivotButton="0" quotePrefix="0" xfId="0">
      <alignment horizontal="center" vertical="center"/>
    </xf>
    <xf numFmtId="0" fontId="23" fillId="15" borderId="7" applyAlignment="1" pivotButton="0" quotePrefix="0" xfId="0">
      <alignment horizontal="left" vertical="center"/>
    </xf>
    <xf numFmtId="0" fontId="23" fillId="15" borderId="7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25" fillId="3" borderId="7" applyAlignment="1" pivotButton="0" quotePrefix="0" xfId="0">
      <alignment horizontal="left" vertical="center"/>
    </xf>
    <xf numFmtId="0" fontId="26" fillId="16" borderId="7" applyAlignment="1" pivotButton="0" quotePrefix="0" xfId="0">
      <alignment horizontal="center" vertical="center"/>
    </xf>
    <xf numFmtId="0" fontId="27" fillId="14" borderId="7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/>
    </xf>
    <xf numFmtId="0" fontId="28" fillId="7" borderId="7" applyAlignment="1" pivotButton="0" quotePrefix="0" xfId="0">
      <alignment horizontal="center" vertical="center"/>
    </xf>
    <xf numFmtId="0" fontId="25" fillId="15" borderId="7" applyAlignment="1" pivotButton="0" quotePrefix="0" xfId="0">
      <alignment horizontal="left" vertical="center"/>
    </xf>
    <xf numFmtId="0" fontId="25" fillId="15" borderId="7" applyAlignment="1" pivotButton="0" quotePrefix="0" xfId="0">
      <alignment horizontal="center" vertical="center"/>
    </xf>
    <xf numFmtId="0" fontId="17" fillId="15" borderId="7" applyAlignment="1" pivotButton="0" quotePrefix="0" xfId="0">
      <alignment horizontal="left" vertical="center"/>
    </xf>
    <xf numFmtId="0" fontId="29" fillId="3" borderId="7" applyAlignment="1" pivotButton="0" quotePrefix="0" xfId="0">
      <alignment horizontal="left" vertical="center"/>
    </xf>
    <xf numFmtId="0" fontId="29" fillId="3" borderId="7" applyAlignment="1" pivotButton="0" quotePrefix="0" xfId="0">
      <alignment horizontal="center" vertical="center"/>
    </xf>
    <xf numFmtId="0" fontId="12" fillId="3" borderId="7" applyAlignment="1" pivotButton="0" quotePrefix="0" xfId="0">
      <alignment horizontal="left" vertical="center"/>
    </xf>
    <xf numFmtId="0" fontId="25" fillId="14" borderId="7" applyAlignment="1" pivotButton="0" quotePrefix="0" xfId="0">
      <alignment horizontal="left" vertical="center"/>
    </xf>
    <xf numFmtId="0" fontId="25" fillId="14" borderId="7" applyAlignment="1" pivotButton="0" quotePrefix="0" xfId="0">
      <alignment horizontal="center" vertical="center"/>
    </xf>
    <xf numFmtId="0" fontId="17" fillId="14" borderId="7" applyAlignment="1" pivotButton="0" quotePrefix="0" xfId="0">
      <alignment horizontal="left" vertical="center"/>
    </xf>
    <xf numFmtId="0" fontId="11" fillId="7" borderId="7" applyAlignment="1" pivotButton="0" quotePrefix="0" xfId="0">
      <alignment horizontal="center" vertical="center"/>
    </xf>
    <xf numFmtId="0" fontId="11" fillId="11" borderId="7" applyAlignment="1" pivotButton="0" quotePrefix="0" xfId="0">
      <alignment horizontal="center" vertical="center"/>
    </xf>
    <xf numFmtId="0" fontId="7" fillId="11" borderId="7" applyAlignment="1" pivotButton="0" quotePrefix="0" xfId="0">
      <alignment horizontal="center" vertical="center"/>
    </xf>
    <xf numFmtId="0" fontId="8" fillId="13" borderId="7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30" fillId="11" borderId="7" applyAlignment="1" pivotButton="0" quotePrefix="0" xfId="0">
      <alignment horizontal="center" vertical="center"/>
    </xf>
    <xf numFmtId="0" fontId="31" fillId="14" borderId="7" applyAlignment="1" pivotButton="0" quotePrefix="0" xfId="0">
      <alignment horizontal="center" vertical="center"/>
    </xf>
    <xf numFmtId="0" fontId="11" fillId="7" borderId="7" applyAlignment="1" pivotButton="0" quotePrefix="0" xfId="0">
      <alignment horizontal="left" vertical="center"/>
    </xf>
    <xf numFmtId="0" fontId="32" fillId="3" borderId="7" applyAlignment="1" pivotButton="0" quotePrefix="0" xfId="0">
      <alignment horizontal="left" vertical="center"/>
    </xf>
    <xf numFmtId="0" fontId="33" fillId="14" borderId="7" applyAlignment="1" pivotButton="0" quotePrefix="0" xfId="0">
      <alignment horizontal="left" vertical="center"/>
    </xf>
    <xf numFmtId="0" fontId="13" fillId="13" borderId="7" applyAlignment="1" pivotButton="0" quotePrefix="0" xfId="0">
      <alignment horizontal="left" vertical="center"/>
    </xf>
    <xf numFmtId="0" fontId="33" fillId="5" borderId="7" applyAlignment="1" pivotButton="0" quotePrefix="0" xfId="0">
      <alignment horizontal="left" vertical="center"/>
    </xf>
    <xf numFmtId="0" fontId="16" fillId="7" borderId="7" applyAlignment="1" pivotButton="0" quotePrefix="0" xfId="0">
      <alignment horizontal="left" vertical="center"/>
    </xf>
    <xf numFmtId="0" fontId="32" fillId="3" borderId="7" applyAlignment="1" pivotButton="0" quotePrefix="0" xfId="0">
      <alignment horizontal="center" vertical="center"/>
    </xf>
    <xf numFmtId="0" fontId="34" fillId="13" borderId="7" applyAlignment="1" pivotButton="0" quotePrefix="0" xfId="0">
      <alignment horizontal="center" vertical="center"/>
    </xf>
    <xf numFmtId="0" fontId="34" fillId="13" borderId="7" applyAlignment="1" pivotButton="0" quotePrefix="0" xfId="0">
      <alignment horizontal="left" vertical="center"/>
    </xf>
    <xf numFmtId="0" fontId="12" fillId="3" borderId="7" applyAlignment="1" pivotButton="0" quotePrefix="0" xfId="0">
      <alignment horizontal="left" vertical="center"/>
    </xf>
    <xf numFmtId="0" fontId="35" fillId="7" borderId="7" applyAlignment="1" pivotButton="0" quotePrefix="0" xfId="0">
      <alignment horizontal="center" vertical="center"/>
    </xf>
    <xf numFmtId="0" fontId="35" fillId="7" borderId="7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</cols>
  <sheetData>
    <row r="1" ht="6" customHeight="1"/>
    <row r="2" ht="40" customHeight="1">
      <c r="B2" s="1" t="inlineStr">
        <is>
          <t>⚡  EDGE PROTOCOL — DASHBOARD DE PERFORMANCE</t>
        </is>
      </c>
    </row>
    <row r="3" ht="6" customHeight="1"/>
    <row r="4" ht="26" customHeight="1">
      <c r="B4" s="2" t="inlineStr">
        <is>
          <t>BANCA ATUAL</t>
        </is>
      </c>
      <c r="E4" s="3" t="inlineStr">
        <is>
          <t>BANCA INICIAL</t>
        </is>
      </c>
      <c r="H4" s="4" t="inlineStr">
        <is>
          <t>VARIAÇÃO %</t>
        </is>
      </c>
      <c r="K4" s="2" t="inlineStr">
        <is>
          <t>APOSTAS TOTAL</t>
        </is>
      </c>
    </row>
    <row r="5" ht="26" customHeight="1">
      <c r="B5" s="5" t="inlineStr">
        <is>
          <t>R$1,110.10</t>
        </is>
      </c>
      <c r="C5" s="73" t="n"/>
      <c r="D5" s="74" t="n"/>
      <c r="E5" s="6" t="inlineStr">
        <is>
          <t>R$1.000,00</t>
        </is>
      </c>
      <c r="F5" s="75" t="n"/>
      <c r="G5" s="76" t="n"/>
      <c r="H5" s="7" t="inlineStr">
        <is>
          <t>+11.01%</t>
        </is>
      </c>
      <c r="I5" s="77" t="n"/>
      <c r="J5" s="78" t="n"/>
      <c r="K5" s="5" t="inlineStr">
        <is>
          <t>10</t>
        </is>
      </c>
      <c r="L5" s="73" t="n"/>
      <c r="M5" s="74" t="n"/>
    </row>
    <row r="6" ht="6" customHeight="1"/>
    <row r="7" ht="26" customHeight="1">
      <c r="B7" s="4" t="inlineStr">
        <is>
          <t>ROI ACUMULADO</t>
        </is>
      </c>
      <c r="E7" s="8" t="inlineStr">
        <is>
          <t>WIN RATE</t>
        </is>
      </c>
      <c r="H7" s="9" t="inlineStr">
        <is>
          <t>CLV MÉDIO</t>
        </is>
      </c>
      <c r="K7" s="4" t="inlineStr">
        <is>
          <t>BRIER SCORE</t>
        </is>
      </c>
    </row>
    <row r="8" ht="26" customHeight="1">
      <c r="B8" s="7" t="inlineStr">
        <is>
          <t>1.10%</t>
        </is>
      </c>
      <c r="C8" s="77" t="n"/>
      <c r="D8" s="78" t="n"/>
      <c r="E8" s="10" t="inlineStr">
        <is>
          <t>77.8%</t>
        </is>
      </c>
      <c r="F8" s="79" t="n"/>
      <c r="G8" s="80" t="n"/>
      <c r="H8" s="11" t="inlineStr">
        <is>
          <t>-2.50%</t>
        </is>
      </c>
      <c r="I8" s="81" t="n"/>
      <c r="J8" s="82" t="n"/>
      <c r="K8" s="7" t="inlineStr">
        <is>
          <t>0.1854</t>
        </is>
      </c>
      <c r="L8" s="77" t="n"/>
      <c r="M8" s="78" t="n"/>
    </row>
    <row r="9" ht="6" customHeight="1"/>
    <row r="10" ht="26" customHeight="1">
      <c r="B10" s="4" t="inlineStr">
        <is>
          <t>GREENS</t>
        </is>
      </c>
      <c r="E10" s="9" t="inlineStr">
        <is>
          <t>REDS</t>
        </is>
      </c>
      <c r="H10" s="12" t="inlineStr">
        <is>
          <t>% CLV POS</t>
        </is>
      </c>
      <c r="K10" s="4" t="inlineStr">
        <is>
          <t>LUCRO (u)</t>
        </is>
      </c>
    </row>
    <row r="11" ht="26" customHeight="1">
      <c r="B11" s="7" t="inlineStr">
        <is>
          <t>7</t>
        </is>
      </c>
      <c r="C11" s="77" t="n"/>
      <c r="D11" s="78" t="n"/>
      <c r="E11" s="11" t="inlineStr">
        <is>
          <t>2</t>
        </is>
      </c>
      <c r="F11" s="81" t="n"/>
      <c r="G11" s="82" t="n"/>
      <c r="H11" s="13" t="inlineStr">
        <is>
          <t>0.0%</t>
        </is>
      </c>
      <c r="I11" s="83" t="n"/>
      <c r="J11" s="84" t="n"/>
      <c r="K11" s="7" t="inlineStr">
        <is>
          <t>+11.01u</t>
        </is>
      </c>
      <c r="L11" s="77" t="n"/>
      <c r="M11" s="78" t="n"/>
    </row>
    <row r="12" ht="6" customHeight="1"/>
    <row r="13" ht="26" customHeight="1">
      <c r="B13" s="14" t="inlineStr">
        <is>
          <t>PERFORMANCE POR LIGA</t>
        </is>
      </c>
    </row>
    <row r="14" ht="24" customHeight="1">
      <c r="B14" s="15" t="inlineStr">
        <is>
          <t>Liga</t>
        </is>
      </c>
      <c r="C14" s="15" t="inlineStr">
        <is>
          <t>Apostas</t>
        </is>
      </c>
      <c r="D14" s="15" t="inlineStr">
        <is>
          <t>Greens</t>
        </is>
      </c>
      <c r="E14" s="15" t="inlineStr">
        <is>
          <t>Reds</t>
        </is>
      </c>
      <c r="F14" s="15" t="inlineStr">
        <is>
          <t>Win Rate</t>
        </is>
      </c>
      <c r="G14" s="15" t="inlineStr">
        <is>
          <t>Lucro (u)</t>
        </is>
      </c>
      <c r="H14" s="15" t="inlineStr">
        <is>
          <t>ROI %</t>
        </is>
      </c>
      <c r="I14" s="15" t="inlineStr">
        <is>
          <t>CLV Médio</t>
        </is>
      </c>
    </row>
    <row r="15" ht="20" customHeight="1">
      <c r="B15" s="16" t="inlineStr">
        <is>
          <t>Premier League</t>
        </is>
      </c>
      <c r="C15" s="17" t="n">
        <v>3</v>
      </c>
      <c r="D15" s="17" t="n">
        <v>3</v>
      </c>
      <c r="E15" s="17" t="n">
        <v>0</v>
      </c>
      <c r="F15" s="17" t="inlineStr">
        <is>
          <t>100%</t>
        </is>
      </c>
      <c r="G15" s="17" t="inlineStr">
        <is>
          <t>+5.76u</t>
        </is>
      </c>
      <c r="H15" s="17" t="inlineStr">
        <is>
          <t>0.58%</t>
        </is>
      </c>
      <c r="I15" s="17" t="inlineStr">
        <is>
          <t>-2.93%</t>
        </is>
      </c>
    </row>
    <row r="16" ht="20" customHeight="1">
      <c r="B16" s="18" t="inlineStr">
        <is>
          <t>UEFA Europa League</t>
        </is>
      </c>
      <c r="C16" s="19" t="n">
        <v>1</v>
      </c>
      <c r="D16" s="19" t="n">
        <v>0</v>
      </c>
      <c r="E16" s="19" t="n">
        <v>1</v>
      </c>
      <c r="F16" s="19" t="inlineStr">
        <is>
          <t>0%</t>
        </is>
      </c>
      <c r="G16" s="19" t="inlineStr">
        <is>
          <t>-1.68u</t>
        </is>
      </c>
      <c r="H16" s="19" t="inlineStr">
        <is>
          <t>-0.17%</t>
        </is>
      </c>
      <c r="I16" s="19" t="inlineStr">
        <is>
          <t>-2.70%</t>
        </is>
      </c>
    </row>
    <row r="17" ht="20" customHeight="1">
      <c r="B17" s="16" t="inlineStr">
        <is>
          <t>La Liga</t>
        </is>
      </c>
      <c r="C17" s="17" t="n">
        <v>1</v>
      </c>
      <c r="D17" s="17" t="n">
        <v>1</v>
      </c>
      <c r="E17" s="17" t="n">
        <v>0</v>
      </c>
      <c r="F17" s="17" t="inlineStr">
        <is>
          <t>100%</t>
        </is>
      </c>
      <c r="G17" s="17" t="inlineStr">
        <is>
          <t>+1.79u</t>
        </is>
      </c>
      <c r="H17" s="17" t="inlineStr">
        <is>
          <t>0.18%</t>
        </is>
      </c>
      <c r="I17" s="17" t="inlineStr">
        <is>
          <t>-1.94%</t>
        </is>
      </c>
    </row>
    <row r="18" ht="20" customHeight="1">
      <c r="B18" s="18" t="inlineStr">
        <is>
          <t>Bundesliga</t>
        </is>
      </c>
      <c r="C18" s="19" t="n">
        <v>1</v>
      </c>
      <c r="D18" s="19" t="n">
        <v>1</v>
      </c>
      <c r="E18" s="19" t="n">
        <v>0</v>
      </c>
      <c r="F18" s="19" t="inlineStr">
        <is>
          <t>100%</t>
        </is>
      </c>
      <c r="G18" s="19" t="inlineStr">
        <is>
          <t>+2.88u</t>
        </is>
      </c>
      <c r="H18" s="19" t="inlineStr">
        <is>
          <t>0.29%</t>
        </is>
      </c>
      <c r="I18" s="19" t="inlineStr">
        <is>
          <t>-1.90%</t>
        </is>
      </c>
    </row>
    <row r="19" ht="20" customHeight="1">
      <c r="B19" s="16" t="inlineStr">
        <is>
          <t>Serie A</t>
        </is>
      </c>
      <c r="C19" s="17" t="n">
        <v>1</v>
      </c>
      <c r="D19" s="17" t="n">
        <v>0</v>
      </c>
      <c r="E19" s="17" t="n">
        <v>1</v>
      </c>
      <c r="F19" s="17" t="inlineStr">
        <is>
          <t>0%</t>
        </is>
      </c>
      <c r="G19" s="17" t="inlineStr">
        <is>
          <t>-1.84u</t>
        </is>
      </c>
      <c r="H19" s="17" t="inlineStr">
        <is>
          <t>-0.18%</t>
        </is>
      </c>
      <c r="I19" s="17" t="inlineStr">
        <is>
          <t>-2.08%</t>
        </is>
      </c>
    </row>
    <row r="20" ht="20" customHeight="1">
      <c r="B20" s="18" t="inlineStr">
        <is>
          <t>Ligue 1</t>
        </is>
      </c>
      <c r="C20" s="19" t="n">
        <v>1</v>
      </c>
      <c r="D20" s="19" t="n">
        <v>1</v>
      </c>
      <c r="E20" s="19" t="n">
        <v>0</v>
      </c>
      <c r="F20" s="19" t="inlineStr">
        <is>
          <t>100%</t>
        </is>
      </c>
      <c r="G20" s="19" t="inlineStr">
        <is>
          <t>+1.22u</t>
        </is>
      </c>
      <c r="H20" s="19" t="inlineStr">
        <is>
          <t>0.12%</t>
        </is>
      </c>
      <c r="I20" s="19" t="inlineStr">
        <is>
          <t>-2.07%</t>
        </is>
      </c>
    </row>
    <row r="21" ht="20" customHeight="1">
      <c r="B21" s="16" t="inlineStr">
        <is>
          <t>UEFA Champions League</t>
        </is>
      </c>
      <c r="C21" s="17" t="n">
        <v>1</v>
      </c>
      <c r="D21" s="17" t="n">
        <v>1</v>
      </c>
      <c r="E21" s="17" t="n">
        <v>0</v>
      </c>
      <c r="F21" s="17" t="inlineStr">
        <is>
          <t>100%</t>
        </is>
      </c>
      <c r="G21" s="17" t="inlineStr">
        <is>
          <t>+2.88u</t>
        </is>
      </c>
      <c r="H21" s="17" t="inlineStr">
        <is>
          <t>0.29%</t>
        </is>
      </c>
      <c r="I21" s="17" t="inlineStr">
        <is>
          <t>-3.03%</t>
        </is>
      </c>
    </row>
  </sheetData>
  <mergeCells count="26">
    <mergeCell ref="B11:D11"/>
    <mergeCell ref="E10:G10"/>
    <mergeCell ref="B8:D8"/>
    <mergeCell ref="H11:J11"/>
    <mergeCell ref="H7:J7"/>
    <mergeCell ref="B10:D10"/>
    <mergeCell ref="K8:M8"/>
    <mergeCell ref="E11:G11"/>
    <mergeCell ref="B2:O2"/>
    <mergeCell ref="E7:G7"/>
    <mergeCell ref="K7:M7"/>
    <mergeCell ref="B13:O13"/>
    <mergeCell ref="B5:D5"/>
    <mergeCell ref="K10:M10"/>
    <mergeCell ref="K4:M4"/>
    <mergeCell ref="H5:J5"/>
    <mergeCell ref="B4:D4"/>
    <mergeCell ref="H8:J8"/>
    <mergeCell ref="B7:D7"/>
    <mergeCell ref="H10:J10"/>
    <mergeCell ref="E5:G5"/>
    <mergeCell ref="K5:M5"/>
    <mergeCell ref="E8:G8"/>
    <mergeCell ref="H4:J4"/>
    <mergeCell ref="E4:G4"/>
    <mergeCell ref="K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8" customWidth="1" min="3" max="3"/>
    <col width="22" customWidth="1" min="4" max="4"/>
    <col width="36" customWidth="1" min="5" max="5"/>
    <col width="13" customWidth="1" min="6" max="6"/>
    <col width="15" customWidth="1" min="7" max="7"/>
    <col width="13" customWidth="1" min="8" max="8"/>
    <col width="15" customWidth="1" min="9" max="9"/>
    <col width="11" customWidth="1" min="10" max="10"/>
    <col width="10" customWidth="1" min="11" max="11"/>
    <col width="13" customWidth="1" min="12" max="12"/>
    <col width="11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3" customWidth="1" min="19" max="19"/>
    <col width="12" customWidth="1" min="20" max="20"/>
    <col width="13" customWidth="1" min="21" max="21"/>
    <col width="20" customWidth="1" min="22" max="22"/>
  </cols>
  <sheetData>
    <row r="1" ht="30" customHeight="1">
      <c r="A1" s="20" t="inlineStr">
        <is>
          <t>ID</t>
        </is>
      </c>
      <c r="B1" s="20" t="inlineStr">
        <is>
          <t>Data</t>
        </is>
      </c>
      <c r="C1" s="20" t="inlineStr">
        <is>
          <t>Hora</t>
        </is>
      </c>
      <c r="D1" s="20" t="inlineStr">
        <is>
          <t>Liga</t>
        </is>
      </c>
      <c r="E1" s="20" t="inlineStr">
        <is>
          <t>Jogo</t>
        </is>
      </c>
      <c r="F1" s="20" t="inlineStr">
        <is>
          <t>Mercado</t>
        </is>
      </c>
      <c r="G1" s="20" t="inlineStr">
        <is>
          <t>Tip</t>
        </is>
      </c>
      <c r="H1" s="20" t="inlineStr">
        <is>
          <t>Odd Entrada</t>
        </is>
      </c>
      <c r="I1" s="20" t="inlineStr">
        <is>
          <t>Odd Fechamento</t>
        </is>
      </c>
      <c r="J1" s="20" t="inlineStr">
        <is>
          <t>CLV%</t>
        </is>
      </c>
      <c r="K1" s="20" t="inlineStr">
        <is>
          <t>EV%</t>
        </is>
      </c>
      <c r="L1" s="20" t="inlineStr">
        <is>
          <t>EDGE Score</t>
        </is>
      </c>
      <c r="M1" s="20" t="inlineStr">
        <is>
          <t>Tier</t>
        </is>
      </c>
      <c r="N1" s="20" t="inlineStr">
        <is>
          <t>Prob Modelo</t>
        </is>
      </c>
      <c r="O1" s="20" t="inlineStr">
        <is>
          <t>Confiança</t>
        </is>
      </c>
      <c r="P1" s="20" t="inlineStr">
        <is>
          <t>Steam</t>
        </is>
      </c>
      <c r="Q1" s="20" t="inlineStr">
        <is>
          <t>Kelly%</t>
        </is>
      </c>
      <c r="R1" s="20" t="inlineStr">
        <is>
          <t>Unidades</t>
        </is>
      </c>
      <c r="S1" s="20" t="inlineStr">
        <is>
          <t>Resultado</t>
        </is>
      </c>
      <c r="T1" s="20" t="inlineStr">
        <is>
          <t>Retorno(u)</t>
        </is>
      </c>
      <c r="U1" s="20" t="inlineStr">
        <is>
          <t>Banca Após</t>
        </is>
      </c>
      <c r="V1" s="20" t="inlineStr">
        <is>
          <t>Notas</t>
        </is>
      </c>
    </row>
    <row r="2" ht="22" customHeight="1">
      <c r="A2" s="19" t="inlineStr">
        <is>
          <t>81</t>
        </is>
      </c>
      <c r="B2" s="19" t="inlineStr">
        <is>
          <t>2026-03-22</t>
        </is>
      </c>
      <c r="C2" s="19" t="inlineStr">
        <is>
          <t>10:11</t>
        </is>
      </c>
      <c r="D2" s="18" t="inlineStr">
        <is>
          <t>Brazil Série A</t>
        </is>
      </c>
      <c r="E2" s="18" t="inlineStr">
        <is>
          <t>Corinthians vs Flamengo</t>
        </is>
      </c>
      <c r="F2" s="19" t="inlineStr">
        <is>
          <t>over_2.5</t>
        </is>
      </c>
      <c r="G2" s="19" t="inlineStr">
        <is>
          <t>Over 2.5</t>
        </is>
      </c>
      <c r="H2" s="19" t="n">
        <v>2.5</v>
      </c>
      <c r="I2" s="19" t="inlineStr">
        <is>
          <t>-</t>
        </is>
      </c>
      <c r="J2" s="19" t="inlineStr">
        <is>
          <t>-</t>
        </is>
      </c>
      <c r="K2" s="19" t="inlineStr">
        <is>
          <t>0.3%</t>
        </is>
      </c>
      <c r="L2" s="19" t="n">
        <v>84</v>
      </c>
      <c r="M2" s="26" t="inlineStr">
        <is>
          <t>premium</t>
        </is>
      </c>
      <c r="N2" s="19" t="inlineStr">
        <is>
          <t>54%</t>
        </is>
      </c>
      <c r="O2" s="19" t="inlineStr">
        <is>
          <t>70</t>
        </is>
      </c>
      <c r="P2" s="19" t="inlineStr">
        <is>
          <t>+0.0%</t>
        </is>
      </c>
      <c r="Q2" s="19" t="inlineStr">
        <is>
          <t>3.0%</t>
        </is>
      </c>
      <c r="R2" s="19" t="inlineStr">
        <is>
          <t>3.00u</t>
        </is>
      </c>
      <c r="S2" s="22" t="inlineStr">
        <is>
          <t>Vermelho</t>
        </is>
      </c>
      <c r="T2" s="19" t="inlineStr">
        <is>
          <t>-1.00u</t>
        </is>
      </c>
      <c r="U2" s="19" t="inlineStr">
        <is>
          <t>R$1,019.67</t>
        </is>
      </c>
      <c r="V2" s="18" t="inlineStr">
        <is>
          <t>médias</t>
        </is>
      </c>
    </row>
    <row r="3" ht="22" customHeight="1">
      <c r="A3" s="19" t="inlineStr">
        <is>
          <t>80</t>
        </is>
      </c>
      <c r="B3" s="19" t="inlineStr">
        <is>
          <t>2026-03-22</t>
        </is>
      </c>
      <c r="C3" s="19" t="inlineStr">
        <is>
          <t>10:11</t>
        </is>
      </c>
      <c r="D3" s="18" t="inlineStr">
        <is>
          <t>Ligue 1 - France</t>
        </is>
      </c>
      <c r="E3" s="18" t="inlineStr">
        <is>
          <t>Nantes vs Strasbourg</t>
        </is>
      </c>
      <c r="F3" s="19" t="inlineStr">
        <is>
          <t>over_2.5</t>
        </is>
      </c>
      <c r="G3" s="19" t="inlineStr">
        <is>
          <t>Over 2.5</t>
        </is>
      </c>
      <c r="H3" s="19" t="n">
        <v>1.96</v>
      </c>
      <c r="I3" s="19" t="inlineStr">
        <is>
          <t>-</t>
        </is>
      </c>
      <c r="J3" s="19" t="inlineStr">
        <is>
          <t>-</t>
        </is>
      </c>
      <c r="K3" s="19" t="inlineStr">
        <is>
          <t>0.3%</t>
        </is>
      </c>
      <c r="L3" s="19" t="n">
        <v>87.8</v>
      </c>
      <c r="M3" s="26" t="inlineStr">
        <is>
          <t>premium</t>
        </is>
      </c>
      <c r="N3" s="19" t="inlineStr">
        <is>
          <t>69%</t>
        </is>
      </c>
      <c r="O3" s="19" t="inlineStr">
        <is>
          <t>85</t>
        </is>
      </c>
      <c r="P3" s="19" t="inlineStr">
        <is>
          <t>+0.0%</t>
        </is>
      </c>
      <c r="Q3" s="19" t="inlineStr">
        <is>
          <t>3.0%</t>
        </is>
      </c>
      <c r="R3" s="19" t="inlineStr">
        <is>
          <t>3.00u</t>
        </is>
      </c>
      <c r="S3" s="22" t="inlineStr">
        <is>
          <t>Verde</t>
        </is>
      </c>
      <c r="T3" s="19" t="inlineStr">
        <is>
          <t>+0.96u</t>
        </is>
      </c>
      <c r="U3" s="19" t="inlineStr">
        <is>
          <t>R$1,029.97</t>
        </is>
      </c>
      <c r="V3" s="18" t="inlineStr">
        <is>
          <t>xG+SOS</t>
        </is>
      </c>
    </row>
    <row r="4" ht="22" customHeight="1">
      <c r="A4" s="19" t="inlineStr">
        <is>
          <t>79</t>
        </is>
      </c>
      <c r="B4" s="19" t="inlineStr">
        <is>
          <t>2026-03-22</t>
        </is>
      </c>
      <c r="C4" s="19" t="inlineStr">
        <is>
          <t>10:11</t>
        </is>
      </c>
      <c r="D4" s="18" t="inlineStr">
        <is>
          <t>Serie A - Italy</t>
        </is>
      </c>
      <c r="E4" s="18" t="inlineStr">
        <is>
          <t>Bologna vs Lazio</t>
        </is>
      </c>
      <c r="F4" s="19" t="inlineStr">
        <is>
          <t>over_2.5</t>
        </is>
      </c>
      <c r="G4" s="19" t="inlineStr">
        <is>
          <t>Over 2.5</t>
        </is>
      </c>
      <c r="H4" s="19" t="n">
        <v>2.25</v>
      </c>
      <c r="I4" s="19" t="inlineStr">
        <is>
          <t>-</t>
        </is>
      </c>
      <c r="J4" s="19" t="inlineStr">
        <is>
          <t>-</t>
        </is>
      </c>
      <c r="K4" s="19" t="inlineStr">
        <is>
          <t>0.3%</t>
        </is>
      </c>
      <c r="L4" s="19" t="n">
        <v>87.8</v>
      </c>
      <c r="M4" s="26" t="inlineStr">
        <is>
          <t>premium</t>
        </is>
      </c>
      <c r="N4" s="19" t="inlineStr">
        <is>
          <t>57%</t>
        </is>
      </c>
      <c r="O4" s="19" t="inlineStr">
        <is>
          <t>85</t>
        </is>
      </c>
      <c r="P4" s="19" t="inlineStr">
        <is>
          <t>+0.0%</t>
        </is>
      </c>
      <c r="Q4" s="19" t="inlineStr">
        <is>
          <t>3.0%</t>
        </is>
      </c>
      <c r="R4" s="19" t="inlineStr">
        <is>
          <t>3.00u</t>
        </is>
      </c>
      <c r="S4" s="22" t="inlineStr">
        <is>
          <t>Vermelho</t>
        </is>
      </c>
      <c r="T4" s="19" t="inlineStr">
        <is>
          <t>-1.00u</t>
        </is>
      </c>
      <c r="U4" s="19" t="inlineStr">
        <is>
          <t>R$1,020.18</t>
        </is>
      </c>
      <c r="V4" s="18" t="inlineStr">
        <is>
          <t>xG+SOS</t>
        </is>
      </c>
    </row>
    <row r="5" ht="22" customHeight="1">
      <c r="A5" s="19" t="inlineStr">
        <is>
          <t>78</t>
        </is>
      </c>
      <c r="B5" s="19" t="inlineStr">
        <is>
          <t>2026-03-21</t>
        </is>
      </c>
      <c r="C5" s="19" t="inlineStr">
        <is>
          <t>10:04</t>
        </is>
      </c>
      <c r="D5" s="18" t="inlineStr">
        <is>
          <t>Brazil Série A</t>
        </is>
      </c>
      <c r="E5" s="18" t="inlineStr">
        <is>
          <t>Sao Paulo vs Palmeiras</t>
        </is>
      </c>
      <c r="F5" s="19" t="inlineStr">
        <is>
          <t>1x2_casa</t>
        </is>
      </c>
      <c r="G5" s="19" t="inlineStr">
        <is>
          <t>Casa</t>
        </is>
      </c>
      <c r="H5" s="19" t="n">
        <v>3.03</v>
      </c>
      <c r="I5" s="19" t="inlineStr">
        <is>
          <t>-</t>
        </is>
      </c>
      <c r="J5" s="19" t="inlineStr">
        <is>
          <t>-</t>
        </is>
      </c>
      <c r="K5" s="19" t="inlineStr">
        <is>
          <t>0.1%</t>
        </is>
      </c>
      <c r="L5" s="19" t="n">
        <v>84</v>
      </c>
      <c r="M5" s="26" t="inlineStr">
        <is>
          <t>premium</t>
        </is>
      </c>
      <c r="N5" s="19" t="inlineStr">
        <is>
          <t>37%</t>
        </is>
      </c>
      <c r="O5" s="19" t="inlineStr">
        <is>
          <t>70</t>
        </is>
      </c>
      <c r="P5" s="19" t="inlineStr">
        <is>
          <t>+0.0%</t>
        </is>
      </c>
      <c r="Q5" s="19" t="inlineStr">
        <is>
          <t>1.3%</t>
        </is>
      </c>
      <c r="R5" s="19" t="inlineStr">
        <is>
          <t>1.26u</t>
        </is>
      </c>
      <c r="S5" s="22" t="inlineStr">
        <is>
          <t>Pendente</t>
        </is>
      </c>
      <c r="T5" s="19" t="inlineStr">
        <is>
          <t>-</t>
        </is>
      </c>
      <c r="U5" s="19" t="inlineStr">
        <is>
          <t>-</t>
        </is>
      </c>
      <c r="V5" s="18" t="inlineStr">
        <is>
          <t>médias</t>
        </is>
      </c>
    </row>
    <row r="6" ht="22" customHeight="1">
      <c r="A6" s="19" t="inlineStr">
        <is>
          <t>77</t>
        </is>
      </c>
      <c r="B6" s="19" t="inlineStr">
        <is>
          <t>2026-03-21</t>
        </is>
      </c>
      <c r="C6" s="19" t="inlineStr">
        <is>
          <t>10:04</t>
        </is>
      </c>
      <c r="D6" s="18" t="inlineStr">
        <is>
          <t>Ligue 1 - France</t>
        </is>
      </c>
      <c r="E6" s="18" t="inlineStr">
        <is>
          <t>Nice vs Paris Saint Germain</t>
        </is>
      </c>
      <c r="F6" s="19" t="inlineStr">
        <is>
          <t>over_2.5</t>
        </is>
      </c>
      <c r="G6" s="19" t="inlineStr">
        <is>
          <t>Over 2.5</t>
        </is>
      </c>
      <c r="H6" s="19" t="n">
        <v>2.2</v>
      </c>
      <c r="I6" s="19" t="inlineStr">
        <is>
          <t>-</t>
        </is>
      </c>
      <c r="J6" s="19" t="inlineStr">
        <is>
          <t>-</t>
        </is>
      </c>
      <c r="K6" s="19" t="inlineStr">
        <is>
          <t>0.8%</t>
        </is>
      </c>
      <c r="L6" s="19" t="n">
        <v>87.8</v>
      </c>
      <c r="M6" s="26" t="inlineStr">
        <is>
          <t>premium</t>
        </is>
      </c>
      <c r="N6" s="19" t="inlineStr">
        <is>
          <t>82%</t>
        </is>
      </c>
      <c r="O6" s="19" t="inlineStr">
        <is>
          <t>85</t>
        </is>
      </c>
      <c r="P6" s="19" t="inlineStr">
        <is>
          <t>+0.0%</t>
        </is>
      </c>
      <c r="Q6" s="19" t="inlineStr">
        <is>
          <t>3.0%</t>
        </is>
      </c>
      <c r="R6" s="19" t="inlineStr">
        <is>
          <t>3.00u</t>
        </is>
      </c>
      <c r="S6" s="22" t="inlineStr">
        <is>
          <t>Verde</t>
        </is>
      </c>
      <c r="T6" s="19" t="inlineStr">
        <is>
          <t>+1.20u</t>
        </is>
      </c>
      <c r="U6" s="19" t="inlineStr">
        <is>
          <t>R$1,030.48</t>
        </is>
      </c>
      <c r="V6" s="18" t="inlineStr">
        <is>
          <t>xG+SOS</t>
        </is>
      </c>
    </row>
    <row r="7" ht="22" customHeight="1">
      <c r="A7" s="19" t="inlineStr">
        <is>
          <t>76</t>
        </is>
      </c>
      <c r="B7" s="19" t="inlineStr">
        <is>
          <t>2026-03-21</t>
        </is>
      </c>
      <c r="C7" s="19" t="inlineStr">
        <is>
          <t>10:03</t>
        </is>
      </c>
      <c r="D7" s="18" t="inlineStr">
        <is>
          <t>La Liga - Spain</t>
        </is>
      </c>
      <c r="E7" s="18" t="inlineStr">
        <is>
          <t>Sevilla vs Valencia</t>
        </is>
      </c>
      <c r="F7" s="19" t="inlineStr">
        <is>
          <t>over_2.5</t>
        </is>
      </c>
      <c r="G7" s="19" t="inlineStr">
        <is>
          <t>Over 2.5</t>
        </is>
      </c>
      <c r="H7" s="19" t="n">
        <v>2.5</v>
      </c>
      <c r="I7" s="19" t="inlineStr">
        <is>
          <t>-</t>
        </is>
      </c>
      <c r="J7" s="19" t="inlineStr">
        <is>
          <t>-</t>
        </is>
      </c>
      <c r="K7" s="19" t="inlineStr">
        <is>
          <t>0.1%</t>
        </is>
      </c>
      <c r="L7" s="19" t="n">
        <v>87.8</v>
      </c>
      <c r="M7" s="26" t="inlineStr">
        <is>
          <t>premium</t>
        </is>
      </c>
      <c r="N7" s="19" t="inlineStr">
        <is>
          <t>45%</t>
        </is>
      </c>
      <c r="O7" s="19" t="inlineStr">
        <is>
          <t>85</t>
        </is>
      </c>
      <c r="P7" s="19" t="inlineStr">
        <is>
          <t>+0.0%</t>
        </is>
      </c>
      <c r="Q7" s="19" t="inlineStr">
        <is>
          <t>1.6%</t>
        </is>
      </c>
      <c r="R7" s="19" t="inlineStr">
        <is>
          <t>1.60u</t>
        </is>
      </c>
      <c r="S7" s="22" t="inlineStr">
        <is>
          <t>Vermelho</t>
        </is>
      </c>
      <c r="T7" s="19" t="inlineStr">
        <is>
          <t>-1.00u</t>
        </is>
      </c>
      <c r="U7" s="19" t="inlineStr">
        <is>
          <t>R$1,018.26</t>
        </is>
      </c>
      <c r="V7" s="18" t="inlineStr">
        <is>
          <t>xG+SOS</t>
        </is>
      </c>
    </row>
    <row r="8" ht="22" customHeight="1">
      <c r="A8" s="19" t="inlineStr">
        <is>
          <t>75</t>
        </is>
      </c>
      <c r="B8" s="19" t="inlineStr">
        <is>
          <t>2026-03-21</t>
        </is>
      </c>
      <c r="C8" s="19" t="inlineStr">
        <is>
          <t>10:03</t>
        </is>
      </c>
      <c r="D8" s="18" t="inlineStr">
        <is>
          <t>La Liga - Spain</t>
        </is>
      </c>
      <c r="E8" s="18" t="inlineStr">
        <is>
          <t>Sevilla vs Valencia</t>
        </is>
      </c>
      <c r="F8" s="19" t="inlineStr">
        <is>
          <t>1x2_casa</t>
        </is>
      </c>
      <c r="G8" s="19" t="inlineStr">
        <is>
          <t>Casa</t>
        </is>
      </c>
      <c r="H8" s="19" t="n">
        <v>2.38</v>
      </c>
      <c r="I8" s="19" t="inlineStr">
        <is>
          <t>-</t>
        </is>
      </c>
      <c r="J8" s="19" t="inlineStr">
        <is>
          <t>-</t>
        </is>
      </c>
      <c r="K8" s="19" t="inlineStr">
        <is>
          <t>0.2%</t>
        </is>
      </c>
      <c r="L8" s="19" t="n">
        <v>87.8</v>
      </c>
      <c r="M8" s="26" t="inlineStr">
        <is>
          <t>premium</t>
        </is>
      </c>
      <c r="N8" s="19" t="inlineStr">
        <is>
          <t>49%</t>
        </is>
      </c>
      <c r="O8" s="19" t="inlineStr">
        <is>
          <t>85</t>
        </is>
      </c>
      <c r="P8" s="19" t="inlineStr">
        <is>
          <t>+0.0%</t>
        </is>
      </c>
      <c r="Q8" s="19" t="inlineStr">
        <is>
          <t>3.0%</t>
        </is>
      </c>
      <c r="R8" s="19" t="inlineStr">
        <is>
          <t>3.00u</t>
        </is>
      </c>
      <c r="S8" s="22" t="inlineStr">
        <is>
          <t>Vermelho</t>
        </is>
      </c>
      <c r="T8" s="19" t="inlineStr">
        <is>
          <t>-1.00u</t>
        </is>
      </c>
      <c r="U8" s="19" t="inlineStr">
        <is>
          <t>R$1,028.55</t>
        </is>
      </c>
      <c r="V8" s="18" t="inlineStr">
        <is>
          <t>xG+SOS</t>
        </is>
      </c>
    </row>
    <row r="9" ht="22" customHeight="1">
      <c r="A9" s="19" t="inlineStr">
        <is>
          <t>74</t>
        </is>
      </c>
      <c r="B9" s="19" t="inlineStr">
        <is>
          <t>2026-03-21</t>
        </is>
      </c>
      <c r="C9" s="19" t="inlineStr">
        <is>
          <t>10:03</t>
        </is>
      </c>
      <c r="D9" s="18" t="inlineStr">
        <is>
          <t>EPL</t>
        </is>
      </c>
      <c r="E9" s="18" t="inlineStr">
        <is>
          <t>Everton vs Chelsea</t>
        </is>
      </c>
      <c r="F9" s="19" t="inlineStr">
        <is>
          <t>over_2.5</t>
        </is>
      </c>
      <c r="G9" s="19" t="inlineStr">
        <is>
          <t>Over 2.5</t>
        </is>
      </c>
      <c r="H9" s="19" t="n">
        <v>1.95</v>
      </c>
      <c r="I9" s="19" t="inlineStr">
        <is>
          <t>-</t>
        </is>
      </c>
      <c r="J9" s="19" t="inlineStr">
        <is>
          <t>-</t>
        </is>
      </c>
      <c r="K9" s="19" t="inlineStr">
        <is>
          <t>0.3%</t>
        </is>
      </c>
      <c r="L9" s="19" t="n">
        <v>87.8</v>
      </c>
      <c r="M9" s="26" t="inlineStr">
        <is>
          <t>premium</t>
        </is>
      </c>
      <c r="N9" s="19" t="inlineStr">
        <is>
          <t>66%</t>
        </is>
      </c>
      <c r="O9" s="19" t="inlineStr">
        <is>
          <t>85</t>
        </is>
      </c>
      <c r="P9" s="19" t="inlineStr">
        <is>
          <t>+0.0%</t>
        </is>
      </c>
      <c r="Q9" s="19" t="inlineStr">
        <is>
          <t>3.0%</t>
        </is>
      </c>
      <c r="R9" s="19" t="inlineStr">
        <is>
          <t>3.00u</t>
        </is>
      </c>
      <c r="S9" s="22" t="inlineStr">
        <is>
          <t>Verde</t>
        </is>
      </c>
      <c r="T9" s="19" t="inlineStr">
        <is>
          <t>+0.95u</t>
        </is>
      </c>
      <c r="U9" s="19" t="inlineStr">
        <is>
          <t>R$1,038.94</t>
        </is>
      </c>
      <c r="V9" s="18" t="inlineStr">
        <is>
          <t>xG+SOS</t>
        </is>
      </c>
    </row>
    <row r="10" ht="22" customHeight="1">
      <c r="A10" s="19" t="inlineStr">
        <is>
          <t>73</t>
        </is>
      </c>
      <c r="B10" s="19" t="inlineStr">
        <is>
          <t>2026-03-21</t>
        </is>
      </c>
      <c r="C10" s="19" t="inlineStr">
        <is>
          <t>10:03</t>
        </is>
      </c>
      <c r="D10" s="18" t="inlineStr">
        <is>
          <t>EPL</t>
        </is>
      </c>
      <c r="E10" s="18" t="inlineStr">
        <is>
          <t>Everton vs Chelsea</t>
        </is>
      </c>
      <c r="F10" s="19" t="inlineStr">
        <is>
          <t>1x2_casa</t>
        </is>
      </c>
      <c r="G10" s="19" t="inlineStr">
        <is>
          <t>Casa</t>
        </is>
      </c>
      <c r="H10" s="19" t="n">
        <v>3.5</v>
      </c>
      <c r="I10" s="19" t="inlineStr">
        <is>
          <t>-</t>
        </is>
      </c>
      <c r="J10" s="19" t="inlineStr">
        <is>
          <t>-</t>
        </is>
      </c>
      <c r="K10" s="19" t="inlineStr">
        <is>
          <t>0.6%</t>
        </is>
      </c>
      <c r="L10" s="19" t="n">
        <v>87.8</v>
      </c>
      <c r="M10" s="26" t="inlineStr">
        <is>
          <t>premium</t>
        </is>
      </c>
      <c r="N10" s="19" t="inlineStr">
        <is>
          <t>45%</t>
        </is>
      </c>
      <c r="O10" s="19" t="inlineStr">
        <is>
          <t>85</t>
        </is>
      </c>
      <c r="P10" s="19" t="inlineStr">
        <is>
          <t>+0.0%</t>
        </is>
      </c>
      <c r="Q10" s="19" t="inlineStr">
        <is>
          <t>3.0%</t>
        </is>
      </c>
      <c r="R10" s="19" t="inlineStr">
        <is>
          <t>3.00u</t>
        </is>
      </c>
      <c r="S10" s="22" t="inlineStr">
        <is>
          <t>Verde</t>
        </is>
      </c>
      <c r="T10" s="19" t="inlineStr">
        <is>
          <t>+2.50u</t>
        </is>
      </c>
      <c r="U10" s="19" t="inlineStr">
        <is>
          <t>R$1,029.16</t>
        </is>
      </c>
      <c r="V10" s="18" t="inlineStr">
        <is>
          <t>xG+SOS</t>
        </is>
      </c>
    </row>
    <row r="11" ht="22" customHeight="1">
      <c r="A11" s="19" t="inlineStr">
        <is>
          <t>011</t>
        </is>
      </c>
      <c r="B11" s="19" t="inlineStr">
        <is>
          <t>2026-03-22</t>
        </is>
      </c>
      <c r="C11" s="19" t="inlineStr">
        <is>
          <t>16:30</t>
        </is>
      </c>
      <c r="D11" s="18" t="inlineStr">
        <is>
          <t>Premier League</t>
        </is>
      </c>
      <c r="E11" s="18" t="inlineStr">
        <is>
          <t>Arsenal vs Chelsea</t>
        </is>
      </c>
      <c r="F11" s="19" t="inlineStr">
        <is>
          <t>1x2</t>
        </is>
      </c>
      <c r="G11" s="19" t="inlineStr">
        <is>
          <t>Casa</t>
        </is>
      </c>
      <c r="H11" s="19" t="n">
        <v>2.1</v>
      </c>
      <c r="I11" s="19" t="inlineStr">
        <is>
          <t>-</t>
        </is>
      </c>
      <c r="J11" s="19" t="inlineStr">
        <is>
          <t>-</t>
        </is>
      </c>
      <c r="K11" s="19" t="inlineStr">
        <is>
          <t>8.5%</t>
        </is>
      </c>
      <c r="L11" s="19" t="n">
        <v>85</v>
      </c>
      <c r="M11" s="21" t="inlineStr">
        <is>
          <t>Premium</t>
        </is>
      </c>
      <c r="N11" s="19" t="inlineStr">
        <is>
          <t>58%</t>
        </is>
      </c>
      <c r="O11" s="19" t="inlineStr">
        <is>
          <t>80</t>
        </is>
      </c>
      <c r="P11" s="19" t="inlineStr">
        <is>
          <t>+2.3%</t>
        </is>
      </c>
      <c r="Q11" s="19" t="inlineStr">
        <is>
          <t>2.4%</t>
        </is>
      </c>
      <c r="R11" s="19" t="inlineStr">
        <is>
          <t>1.92u</t>
        </is>
      </c>
      <c r="S11" s="22" t="inlineStr">
        <is>
          <t>Pendente</t>
        </is>
      </c>
      <c r="T11" s="19" t="inlineStr">
        <is>
          <t>-</t>
        </is>
      </c>
      <c r="U11" s="19" t="inlineStr">
        <is>
          <t>-</t>
        </is>
      </c>
      <c r="V11" s="18" t="inlineStr">
        <is>
          <t>Teste update_excel</t>
        </is>
      </c>
    </row>
    <row r="12" ht="26" customHeight="1">
      <c r="A12" s="17" t="inlineStr">
        <is>
          <t>010</t>
        </is>
      </c>
      <c r="B12" s="17" t="inlineStr">
        <is>
          <t>2026-03-22</t>
        </is>
      </c>
      <c r="C12" s="17" t="inlineStr">
        <is>
          <t>16:00</t>
        </is>
      </c>
      <c r="D12" s="16" t="inlineStr">
        <is>
          <t>Brasileirao Serie A</t>
        </is>
      </c>
      <c r="E12" s="16" t="inlineStr">
        <is>
          <t>Palmeiras vs Botafogo</t>
        </is>
      </c>
      <c r="F12" s="17" t="inlineStr">
        <is>
          <t>1x2</t>
        </is>
      </c>
      <c r="G12" s="17" t="inlineStr">
        <is>
          <t>Casa</t>
        </is>
      </c>
      <c r="H12" s="17" t="n">
        <v>1.79</v>
      </c>
      <c r="I12" s="17" t="inlineStr">
        <is>
          <t>-</t>
        </is>
      </c>
      <c r="J12" s="17" t="inlineStr">
        <is>
          <t>-</t>
        </is>
      </c>
      <c r="K12" s="17" t="inlineStr">
        <is>
          <t>7.2%</t>
        </is>
      </c>
      <c r="L12" s="17" t="n">
        <v>82</v>
      </c>
      <c r="M12" s="21" t="inlineStr">
        <is>
          <t>Premium</t>
        </is>
      </c>
      <c r="N12" s="17" t="inlineStr">
        <is>
          <t>64%</t>
        </is>
      </c>
      <c r="O12" s="17" t="inlineStr">
        <is>
          <t>75</t>
        </is>
      </c>
      <c r="P12" s="17" t="inlineStr">
        <is>
          <t>0.0%</t>
        </is>
      </c>
      <c r="Q12" s="17" t="inlineStr">
        <is>
          <t>2.2%</t>
        </is>
      </c>
      <c r="R12" s="17" t="inlineStr">
        <is>
          <t>1.76u</t>
        </is>
      </c>
      <c r="S12" s="22" t="inlineStr">
        <is>
          <t>Pendente</t>
        </is>
      </c>
      <c r="T12" s="17" t="inlineStr">
        <is>
          <t>-</t>
        </is>
      </c>
      <c r="U12" s="17" t="inlineStr">
        <is>
          <t>-</t>
        </is>
      </c>
      <c r="V12" s="16" t="inlineStr">
        <is>
          <t>Pendente</t>
        </is>
      </c>
    </row>
    <row r="13">
      <c r="A13" s="19" t="inlineStr">
        <is>
          <t>009</t>
        </is>
      </c>
      <c r="B13" s="19" t="inlineStr">
        <is>
          <t>2026-03-22</t>
        </is>
      </c>
      <c r="C13" s="19" t="inlineStr">
        <is>
          <t>09:00</t>
        </is>
      </c>
      <c r="D13" s="18" t="inlineStr">
        <is>
          <t>UEFA Champions League</t>
        </is>
      </c>
      <c r="E13" s="18" t="inlineStr">
        <is>
          <t>Real Madrid vs Atletico Madrid</t>
        </is>
      </c>
      <c r="F13" s="19" t="inlineStr">
        <is>
          <t>1x2</t>
        </is>
      </c>
      <c r="G13" s="19" t="inlineStr">
        <is>
          <t>Casa</t>
        </is>
      </c>
      <c r="H13" s="19" t="n">
        <v>1.98</v>
      </c>
      <c r="I13" s="19" t="n">
        <v>1.92</v>
      </c>
      <c r="J13" s="23" t="inlineStr">
        <is>
          <t>-3.03%</t>
        </is>
      </c>
      <c r="K13" s="19" t="inlineStr">
        <is>
          <t>9.1%</t>
        </is>
      </c>
      <c r="L13" s="19" t="n">
        <v>93</v>
      </c>
      <c r="M13" s="24" t="inlineStr">
        <is>
          <t>Elite</t>
        </is>
      </c>
      <c r="N13" s="19" t="inlineStr">
        <is>
          <t>63%</t>
        </is>
      </c>
      <c r="O13" s="19" t="inlineStr">
        <is>
          <t>90</t>
        </is>
      </c>
      <c r="P13" s="19" t="inlineStr">
        <is>
          <t>+6.8%</t>
        </is>
      </c>
      <c r="Q13" s="19" t="inlineStr">
        <is>
          <t>3.0%</t>
        </is>
      </c>
      <c r="R13" s="19" t="inlineStr">
        <is>
          <t>2.88u</t>
        </is>
      </c>
      <c r="S13" s="25" t="inlineStr">
        <is>
          <t>Green</t>
        </is>
      </c>
      <c r="T13" s="19" t="inlineStr">
        <is>
          <t>+2.88u</t>
        </is>
      </c>
      <c r="U13" s="19" t="inlineStr">
        <is>
          <t>R$1,110.10</t>
        </is>
      </c>
      <c r="V13" s="18" t="inlineStr">
        <is>
          <t>Elite + Steam +6.8% Pinnacle lidera</t>
        </is>
      </c>
    </row>
    <row r="14">
      <c r="A14" s="17" t="inlineStr">
        <is>
          <t>008</t>
        </is>
      </c>
      <c r="B14" s="17" t="inlineStr">
        <is>
          <t>2026-03-22</t>
        </is>
      </c>
      <c r="C14" s="17" t="inlineStr">
        <is>
          <t>09:00</t>
        </is>
      </c>
      <c r="D14" s="16" t="inlineStr">
        <is>
          <t>Premier League</t>
        </is>
      </c>
      <c r="E14" s="16" t="inlineStr">
        <is>
          <t>Tottenham vs Nottingham Forest</t>
        </is>
      </c>
      <c r="F14" s="17" t="inlineStr">
        <is>
          <t>Over/Under</t>
        </is>
      </c>
      <c r="G14" s="17" t="inlineStr">
        <is>
          <t>Over 2.5</t>
        </is>
      </c>
      <c r="H14" s="17" t="n">
        <v>1.97</v>
      </c>
      <c r="I14" s="17" t="n">
        <v>1.93</v>
      </c>
      <c r="J14" s="23" t="inlineStr">
        <is>
          <t>-2.03%</t>
        </is>
      </c>
      <c r="K14" s="17" t="inlineStr">
        <is>
          <t>8.8%</t>
        </is>
      </c>
      <c r="L14" s="17" t="n">
        <v>88</v>
      </c>
      <c r="M14" s="21" t="inlineStr">
        <is>
          <t>Premium</t>
        </is>
      </c>
      <c r="N14" s="17" t="inlineStr">
        <is>
          <t>62%</t>
        </is>
      </c>
      <c r="O14" s="17" t="inlineStr">
        <is>
          <t>85</t>
        </is>
      </c>
      <c r="P14" s="17" t="inlineStr">
        <is>
          <t>+5.2%</t>
        </is>
      </c>
      <c r="Q14" s="17" t="inlineStr">
        <is>
          <t>2.6%</t>
        </is>
      </c>
      <c r="R14" s="17" t="inlineStr">
        <is>
          <t>2.08u</t>
        </is>
      </c>
      <c r="S14" s="25" t="inlineStr">
        <is>
          <t>Green</t>
        </is>
      </c>
      <c r="T14" s="17" t="inlineStr">
        <is>
          <t>+2.08u</t>
        </is>
      </c>
      <c r="U14" s="17" t="inlineStr">
        <is>
          <t>R$1,081.30</t>
        </is>
      </c>
      <c r="V14" s="16" t="inlineStr">
        <is>
          <t>Steam forte confirmado</t>
        </is>
      </c>
    </row>
    <row r="15">
      <c r="A15" s="19" t="inlineStr">
        <is>
          <t>007</t>
        </is>
      </c>
      <c r="B15" s="19" t="inlineStr">
        <is>
          <t>2026-03-21</t>
        </is>
      </c>
      <c r="C15" s="19" t="inlineStr">
        <is>
          <t>09:00</t>
        </is>
      </c>
      <c r="D15" s="18" t="inlineStr">
        <is>
          <t>Ligue 1</t>
        </is>
      </c>
      <c r="E15" s="18" t="inlineStr">
        <is>
          <t>Marseille vs Lille</t>
        </is>
      </c>
      <c r="F15" s="19" t="inlineStr">
        <is>
          <t>1x2</t>
        </is>
      </c>
      <c r="G15" s="19" t="inlineStr">
        <is>
          <t>Casa</t>
        </is>
      </c>
      <c r="H15" s="19" t="n">
        <v>1.93</v>
      </c>
      <c r="I15" s="19" t="n">
        <v>1.89</v>
      </c>
      <c r="J15" s="23" t="inlineStr">
        <is>
          <t>-2.07%</t>
        </is>
      </c>
      <c r="K15" s="19" t="inlineStr">
        <is>
          <t>6.5%</t>
        </is>
      </c>
      <c r="L15" s="19" t="n">
        <v>76</v>
      </c>
      <c r="M15" s="26" t="inlineStr">
        <is>
          <t>Padrão</t>
        </is>
      </c>
      <c r="N15" s="19" t="inlineStr">
        <is>
          <t>58%</t>
        </is>
      </c>
      <c r="O15" s="19" t="inlineStr">
        <is>
          <t>75</t>
        </is>
      </c>
      <c r="P15" s="19" t="inlineStr">
        <is>
          <t>+2.1%</t>
        </is>
      </c>
      <c r="Q15" s="19" t="inlineStr">
        <is>
          <t>1.9%</t>
        </is>
      </c>
      <c r="R15" s="19" t="inlineStr">
        <is>
          <t>1.22u</t>
        </is>
      </c>
      <c r="S15" s="25" t="inlineStr">
        <is>
          <t>Green</t>
        </is>
      </c>
      <c r="T15" s="19" t="inlineStr">
        <is>
          <t>+1.22u</t>
        </is>
      </c>
      <c r="U15" s="19" t="inlineStr">
        <is>
          <t>R$1,060.50</t>
        </is>
      </c>
      <c r="V15" s="18" t="inlineStr"/>
    </row>
    <row r="16">
      <c r="A16" s="17" t="inlineStr">
        <is>
          <t>006</t>
        </is>
      </c>
      <c r="B16" s="17" t="inlineStr">
        <is>
          <t>2026-03-21</t>
        </is>
      </c>
      <c r="C16" s="17" t="inlineStr">
        <is>
          <t>09:00</t>
        </is>
      </c>
      <c r="D16" s="16" t="inlineStr">
        <is>
          <t>Serie A</t>
        </is>
      </c>
      <c r="E16" s="16" t="inlineStr">
        <is>
          <t>AC Milan vs Torino</t>
        </is>
      </c>
      <c r="F16" s="17" t="inlineStr">
        <is>
          <t>Over/Under</t>
        </is>
      </c>
      <c r="G16" s="17" t="inlineStr">
        <is>
          <t>Over 2.5</t>
        </is>
      </c>
      <c r="H16" s="17" t="n">
        <v>1.92</v>
      </c>
      <c r="I16" s="17" t="n">
        <v>1.88</v>
      </c>
      <c r="J16" s="23" t="inlineStr">
        <is>
          <t>-2.08%</t>
        </is>
      </c>
      <c r="K16" s="17" t="inlineStr">
        <is>
          <t>7.3%</t>
        </is>
      </c>
      <c r="L16" s="17" t="n">
        <v>83</v>
      </c>
      <c r="M16" s="21" t="inlineStr">
        <is>
          <t>Premium</t>
        </is>
      </c>
      <c r="N16" s="17" t="inlineStr">
        <is>
          <t>60%</t>
        </is>
      </c>
      <c r="O16" s="17" t="inlineStr">
        <is>
          <t>80</t>
        </is>
      </c>
      <c r="P16" s="17" t="inlineStr">
        <is>
          <t>+2.0%</t>
        </is>
      </c>
      <c r="Q16" s="17" t="inlineStr">
        <is>
          <t>2.3%</t>
        </is>
      </c>
      <c r="R16" s="17" t="inlineStr">
        <is>
          <t>1.84u</t>
        </is>
      </c>
      <c r="S16" s="23" t="inlineStr">
        <is>
          <t>Red</t>
        </is>
      </c>
      <c r="T16" s="17" t="inlineStr">
        <is>
          <t>-1.84u</t>
        </is>
      </c>
      <c r="U16" s="17" t="inlineStr">
        <is>
          <t>R$1,048.30</t>
        </is>
      </c>
      <c r="V16" s="16" t="inlineStr"/>
    </row>
    <row r="17">
      <c r="A17" s="19" t="inlineStr">
        <is>
          <t>005</t>
        </is>
      </c>
      <c r="B17" s="19" t="inlineStr">
        <is>
          <t>2026-03-20</t>
        </is>
      </c>
      <c r="C17" s="19" t="inlineStr">
        <is>
          <t>09:00</t>
        </is>
      </c>
      <c r="D17" s="18" t="inlineStr">
        <is>
          <t>Bundesliga</t>
        </is>
      </c>
      <c r="E17" s="18" t="inlineStr">
        <is>
          <t>Bayern Munich vs Union Berlin</t>
        </is>
      </c>
      <c r="F17" s="19" t="inlineStr">
        <is>
          <t>1x2</t>
        </is>
      </c>
      <c r="G17" s="19" t="inlineStr">
        <is>
          <t>Casa</t>
        </is>
      </c>
      <c r="H17" s="19" t="n">
        <v>1.58</v>
      </c>
      <c r="I17" s="19" t="n">
        <v>1.55</v>
      </c>
      <c r="J17" s="23" t="inlineStr">
        <is>
          <t>-1.90%</t>
        </is>
      </c>
      <c r="K17" s="19" t="inlineStr">
        <is>
          <t>9.4%</t>
        </is>
      </c>
      <c r="L17" s="19" t="n">
        <v>91</v>
      </c>
      <c r="M17" s="24" t="inlineStr">
        <is>
          <t>Elite</t>
        </is>
      </c>
      <c r="N17" s="19" t="inlineStr">
        <is>
          <t>74%</t>
        </is>
      </c>
      <c r="O17" s="19" t="inlineStr">
        <is>
          <t>85</t>
        </is>
      </c>
      <c r="P17" s="19" t="inlineStr">
        <is>
          <t>+4.1%</t>
        </is>
      </c>
      <c r="Q17" s="19" t="inlineStr">
        <is>
          <t>3.0%</t>
        </is>
      </c>
      <c r="R17" s="19" t="inlineStr">
        <is>
          <t>2.88u</t>
        </is>
      </c>
      <c r="S17" s="25" t="inlineStr">
        <is>
          <t>Green</t>
        </is>
      </c>
      <c r="T17" s="19" t="inlineStr">
        <is>
          <t>+2.88u</t>
        </is>
      </c>
      <c r="U17" s="19" t="inlineStr">
        <is>
          <t>R$1,066.70</t>
        </is>
      </c>
      <c r="V17" s="18" t="inlineStr">
        <is>
          <t>Elite + Steam forte</t>
        </is>
      </c>
    </row>
    <row r="18">
      <c r="A18" s="17" t="inlineStr">
        <is>
          <t>004</t>
        </is>
      </c>
      <c r="B18" s="17" t="inlineStr">
        <is>
          <t>2026-03-20</t>
        </is>
      </c>
      <c r="C18" s="17" t="inlineStr">
        <is>
          <t>09:00</t>
        </is>
      </c>
      <c r="D18" s="16" t="inlineStr">
        <is>
          <t>La Liga</t>
        </is>
      </c>
      <c r="E18" s="16" t="inlineStr">
        <is>
          <t>Barcelona vs Rayo Vallecano</t>
        </is>
      </c>
      <c r="F18" s="17" t="inlineStr">
        <is>
          <t>1x2</t>
        </is>
      </c>
      <c r="G18" s="17" t="inlineStr">
        <is>
          <t>Casa</t>
        </is>
      </c>
      <c r="H18" s="17" t="n">
        <v>1.55</v>
      </c>
      <c r="I18" s="17" t="n">
        <v>1.52</v>
      </c>
      <c r="J18" s="23" t="inlineStr">
        <is>
          <t>-1.94%</t>
        </is>
      </c>
      <c r="K18" s="17" t="inlineStr">
        <is>
          <t>7.1%</t>
        </is>
      </c>
      <c r="L18" s="17" t="n">
        <v>79</v>
      </c>
      <c r="M18" s="26" t="inlineStr">
        <is>
          <t>Padrão</t>
        </is>
      </c>
      <c r="N18" s="17" t="inlineStr">
        <is>
          <t>72%</t>
        </is>
      </c>
      <c r="O18" s="17" t="inlineStr">
        <is>
          <t>80</t>
        </is>
      </c>
      <c r="P18" s="17" t="inlineStr">
        <is>
          <t>+1.9%</t>
        </is>
      </c>
      <c r="Q18" s="17" t="inlineStr">
        <is>
          <t>2.8%</t>
        </is>
      </c>
      <c r="R18" s="17" t="inlineStr">
        <is>
          <t>1.79u</t>
        </is>
      </c>
      <c r="S18" s="25" t="inlineStr">
        <is>
          <t>Green</t>
        </is>
      </c>
      <c r="T18" s="17" t="inlineStr">
        <is>
          <t>+1.79u</t>
        </is>
      </c>
      <c r="U18" s="17" t="inlineStr">
        <is>
          <t>R$1,037.90</t>
        </is>
      </c>
      <c r="V18" s="16" t="inlineStr">
        <is>
          <t>Clássico 72h</t>
        </is>
      </c>
    </row>
    <row r="19">
      <c r="A19" s="19" t="inlineStr">
        <is>
          <t>003</t>
        </is>
      </c>
      <c r="B19" s="19" t="inlineStr">
        <is>
          <t>2026-03-19</t>
        </is>
      </c>
      <c r="C19" s="19" t="inlineStr">
        <is>
          <t>16:00</t>
        </is>
      </c>
      <c r="D19" s="18" t="inlineStr">
        <is>
          <t>UEFA Europa League</t>
        </is>
      </c>
      <c r="E19" s="18" t="inlineStr">
        <is>
          <t>AS Roma vs Bologna</t>
        </is>
      </c>
      <c r="F19" s="19" t="inlineStr">
        <is>
          <t>1x2</t>
        </is>
      </c>
      <c r="G19" s="19" t="inlineStr">
        <is>
          <t>Casa</t>
        </is>
      </c>
      <c r="H19" s="19" t="n">
        <v>1.85</v>
      </c>
      <c r="I19" s="19" t="n">
        <v>1.8</v>
      </c>
      <c r="J19" s="23" t="inlineStr">
        <is>
          <t>-2.70%</t>
        </is>
      </c>
      <c r="K19" s="19" t="inlineStr">
        <is>
          <t>6.9%</t>
        </is>
      </c>
      <c r="L19" s="19" t="n">
        <v>84</v>
      </c>
      <c r="M19" s="21" t="inlineStr">
        <is>
          <t>Premium</t>
        </is>
      </c>
      <c r="N19" s="19" t="inlineStr">
        <is>
          <t>62%</t>
        </is>
      </c>
      <c r="O19" s="19" t="inlineStr">
        <is>
          <t>70</t>
        </is>
      </c>
      <c r="P19" s="19" t="inlineStr">
        <is>
          <t>0.0%</t>
        </is>
      </c>
      <c r="Q19" s="19" t="inlineStr">
        <is>
          <t>2.1%</t>
        </is>
      </c>
      <c r="R19" s="19" t="inlineStr">
        <is>
          <t>1.68u</t>
        </is>
      </c>
      <c r="S19" s="23" t="inlineStr">
        <is>
          <t>Red</t>
        </is>
      </c>
      <c r="T19" s="19" t="inlineStr">
        <is>
          <t>-1.68u</t>
        </is>
      </c>
      <c r="U19" s="19" t="inlineStr">
        <is>
          <t>R$1,020.00</t>
        </is>
      </c>
      <c r="V19" s="18" t="inlineStr"/>
    </row>
    <row r="20">
      <c r="A20" s="17" t="inlineStr">
        <is>
          <t>002</t>
        </is>
      </c>
      <c r="B20" s="17" t="inlineStr">
        <is>
          <t>2026-03-19</t>
        </is>
      </c>
      <c r="C20" s="17" t="inlineStr">
        <is>
          <t>09:15</t>
        </is>
      </c>
      <c r="D20" s="16" t="inlineStr">
        <is>
          <t>Premier League</t>
        </is>
      </c>
      <c r="E20" s="16" t="inlineStr">
        <is>
          <t>Brighton vs Liverpool</t>
        </is>
      </c>
      <c r="F20" s="17" t="inlineStr">
        <is>
          <t>Over/Under</t>
        </is>
      </c>
      <c r="G20" s="17" t="inlineStr">
        <is>
          <t>Over 2.5</t>
        </is>
      </c>
      <c r="H20" s="17" t="n">
        <v>2.12</v>
      </c>
      <c r="I20" s="17" t="n">
        <v>2.05</v>
      </c>
      <c r="J20" s="23" t="inlineStr">
        <is>
          <t>-3.30%</t>
        </is>
      </c>
      <c r="K20" s="17" t="inlineStr">
        <is>
          <t>7.8%</t>
        </is>
      </c>
      <c r="L20" s="17" t="n">
        <v>86</v>
      </c>
      <c r="M20" s="21" t="inlineStr">
        <is>
          <t>Premium</t>
        </is>
      </c>
      <c r="N20" s="17" t="inlineStr">
        <is>
          <t>59%</t>
        </is>
      </c>
      <c r="O20" s="17" t="inlineStr">
        <is>
          <t>85</t>
        </is>
      </c>
      <c r="P20" s="17" t="inlineStr">
        <is>
          <t>+3.2%</t>
        </is>
      </c>
      <c r="Q20" s="17" t="inlineStr">
        <is>
          <t>2.2%</t>
        </is>
      </c>
      <c r="R20" s="17" t="inlineStr">
        <is>
          <t>1.76u</t>
        </is>
      </c>
      <c r="S20" s="25" t="inlineStr">
        <is>
          <t>Green</t>
        </is>
      </c>
      <c r="T20" s="17" t="inlineStr">
        <is>
          <t>+1.76u</t>
        </is>
      </c>
      <c r="U20" s="17" t="inlineStr">
        <is>
          <t>R$1,036.80</t>
        </is>
      </c>
      <c r="V20" s="16" t="inlineStr">
        <is>
          <t>Steam confirmado +3.2%</t>
        </is>
      </c>
    </row>
    <row r="21">
      <c r="A21" s="19" t="inlineStr">
        <is>
          <t>001</t>
        </is>
      </c>
      <c r="B21" s="19" t="inlineStr">
        <is>
          <t>2026-03-19</t>
        </is>
      </c>
      <c r="C21" s="19" t="inlineStr">
        <is>
          <t>09:15</t>
        </is>
      </c>
      <c r="D21" s="18" t="inlineStr">
        <is>
          <t>Premier League</t>
        </is>
      </c>
      <c r="E21" s="18" t="inlineStr">
        <is>
          <t>Aston Villa vs West Ham</t>
        </is>
      </c>
      <c r="F21" s="19" t="inlineStr">
        <is>
          <t>1x2</t>
        </is>
      </c>
      <c r="G21" s="19" t="inlineStr">
        <is>
          <t>Casa</t>
        </is>
      </c>
      <c r="H21" s="19" t="n">
        <v>2.02</v>
      </c>
      <c r="I21" s="19" t="n">
        <v>1.95</v>
      </c>
      <c r="J21" s="23" t="inlineStr">
        <is>
          <t>-3.47%</t>
        </is>
      </c>
      <c r="K21" s="19" t="inlineStr">
        <is>
          <t>8.2%</t>
        </is>
      </c>
      <c r="L21" s="19" t="n">
        <v>84</v>
      </c>
      <c r="M21" s="21" t="inlineStr">
        <is>
          <t>Premium</t>
        </is>
      </c>
      <c r="N21" s="19" t="inlineStr">
        <is>
          <t>61%</t>
        </is>
      </c>
      <c r="O21" s="19" t="inlineStr">
        <is>
          <t>80</t>
        </is>
      </c>
      <c r="P21" s="19" t="inlineStr">
        <is>
          <t>+2.1%</t>
        </is>
      </c>
      <c r="Q21" s="19" t="inlineStr">
        <is>
          <t>2.4%</t>
        </is>
      </c>
      <c r="R21" s="19" t="inlineStr">
        <is>
          <t>1.92u</t>
        </is>
      </c>
      <c r="S21" s="25" t="inlineStr">
        <is>
          <t>Green</t>
        </is>
      </c>
      <c r="T21" s="19" t="inlineStr">
        <is>
          <t>+1.92u</t>
        </is>
      </c>
      <c r="U21" s="19" t="inlineStr">
        <is>
          <t>R$1,019.20</t>
        </is>
      </c>
      <c r="V21" s="18" t="inlineStr">
        <is>
          <t>xG+SOS aplicado</t>
        </is>
      </c>
    </row>
    <row r="22">
      <c r="A22" s="27" t="inlineStr">
        <is>
          <t>TOTAL</t>
        </is>
      </c>
      <c r="B22" s="27" t="inlineStr"/>
      <c r="C22" s="27" t="inlineStr"/>
      <c r="D22" s="27" t="inlineStr"/>
      <c r="E22" s="27" t="inlineStr"/>
      <c r="F22" s="27" t="inlineStr"/>
      <c r="G22" s="27" t="inlineStr"/>
      <c r="H22" s="27" t="inlineStr">
        <is>
          <t>1.87</t>
        </is>
      </c>
      <c r="I22" s="27" t="inlineStr"/>
      <c r="J22" s="27" t="inlineStr"/>
      <c r="K22" s="27" t="inlineStr">
        <is>
          <t>7.8%</t>
        </is>
      </c>
      <c r="L22" s="27" t="inlineStr">
        <is>
          <t>85</t>
        </is>
      </c>
      <c r="M22" s="27" t="inlineStr"/>
      <c r="N22" s="27" t="inlineStr"/>
      <c r="O22" s="27" t="inlineStr"/>
      <c r="P22" s="27" t="inlineStr"/>
      <c r="Q22" s="27" t="inlineStr">
        <is>
          <t>2.5%</t>
        </is>
      </c>
      <c r="R22" s="27" t="inlineStr">
        <is>
          <t>19.81u</t>
        </is>
      </c>
      <c r="S22" s="27" t="inlineStr">
        <is>
          <t>7G/2R</t>
        </is>
      </c>
      <c r="T22" s="27" t="inlineStr">
        <is>
          <t>+11.01u</t>
        </is>
      </c>
      <c r="U22" s="27" t="inlineStr">
        <is>
          <t>R$1,110.10</t>
        </is>
      </c>
      <c r="V22" s="27" t="inlineStr"/>
    </row>
  </sheetData>
  <autoFilter ref="A1:V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34"/>
  <sheetViews>
    <sheetView showGridLines="0"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5" customWidth="1" min="3" max="3"/>
    <col width="10" customWidth="1" min="4" max="4"/>
    <col width="13" customWidth="1" min="5" max="5"/>
    <col width="11" customWidth="1" min="6" max="6"/>
    <col width="11" customWidth="1" min="7" max="7"/>
    <col width="13" customWidth="1" min="8" max="8"/>
  </cols>
  <sheetData>
    <row r="1" ht="8" customHeight="1"/>
    <row r="2" ht="42" customHeight="1">
      <c r="A2" s="28" t="inlineStr">
        <is>
          <t>⚡ EDGE PROTOCOL — MARÇO 2026</t>
        </is>
      </c>
    </row>
    <row r="4" ht="26" customHeight="1">
      <c r="A4" s="2" t="inlineStr">
        <is>
          <t>APOSTAS</t>
        </is>
      </c>
      <c r="B4" s="4" t="inlineStr">
        <is>
          <t>GREENS</t>
        </is>
      </c>
      <c r="C4" s="9" t="inlineStr">
        <is>
          <t>REDS</t>
        </is>
      </c>
      <c r="D4" s="8" t="inlineStr">
        <is>
          <t>WIN RATE</t>
        </is>
      </c>
      <c r="E4" s="4" t="inlineStr">
        <is>
          <t>ROI MÊS</t>
        </is>
      </c>
    </row>
    <row r="5" ht="32" customHeight="1">
      <c r="A5" s="29" t="inlineStr">
        <is>
          <t>10</t>
        </is>
      </c>
      <c r="B5" s="30" t="inlineStr">
        <is>
          <t>7</t>
        </is>
      </c>
      <c r="C5" s="31" t="inlineStr">
        <is>
          <t>2</t>
        </is>
      </c>
      <c r="D5" s="32" t="inlineStr">
        <is>
          <t>77.8%</t>
        </is>
      </c>
      <c r="E5" s="30" t="inlineStr">
        <is>
          <t>1.10%</t>
        </is>
      </c>
    </row>
    <row r="7" ht="26" customHeight="1">
      <c r="A7" s="14" t="inlineStr">
        <is>
          <t>PERFORMANCE POR LIGA — MARÇO 2026</t>
        </is>
      </c>
    </row>
    <row r="8" ht="24" customHeight="1">
      <c r="A8" s="15" t="inlineStr">
        <is>
          <t>Liga</t>
        </is>
      </c>
      <c r="B8" s="15" t="inlineStr">
        <is>
          <t>Apostas</t>
        </is>
      </c>
      <c r="C8" s="15" t="inlineStr">
        <is>
          <t>Greens</t>
        </is>
      </c>
      <c r="D8" s="15" t="inlineStr">
        <is>
          <t>Reds</t>
        </is>
      </c>
      <c r="E8" s="15" t="inlineStr">
        <is>
          <t>WR%</t>
        </is>
      </c>
      <c r="F8" s="15" t="inlineStr">
        <is>
          <t>Lucro(u)</t>
        </is>
      </c>
      <c r="G8" s="15" t="inlineStr">
        <is>
          <t>ROI%</t>
        </is>
      </c>
      <c r="H8" s="15" t="inlineStr">
        <is>
          <t>CLV Médio</t>
        </is>
      </c>
    </row>
    <row r="9" ht="20" customHeight="1">
      <c r="A9" s="16" t="inlineStr">
        <is>
          <t>Premier League</t>
        </is>
      </c>
      <c r="B9" s="17" t="n">
        <v>3</v>
      </c>
      <c r="C9" s="17" t="n">
        <v>3</v>
      </c>
      <c r="D9" s="17" t="n">
        <v>0</v>
      </c>
      <c r="E9" s="17" t="inlineStr">
        <is>
          <t>100%</t>
        </is>
      </c>
      <c r="F9" s="17" t="inlineStr">
        <is>
          <t>+5.76u</t>
        </is>
      </c>
      <c r="G9" s="17" t="inlineStr">
        <is>
          <t>0.58%</t>
        </is>
      </c>
      <c r="H9" s="17" t="inlineStr">
        <is>
          <t>-2.93%</t>
        </is>
      </c>
    </row>
    <row r="10" ht="20" customHeight="1">
      <c r="A10" s="18" t="inlineStr">
        <is>
          <t>UEFA Europa League</t>
        </is>
      </c>
      <c r="B10" s="19" t="n">
        <v>1</v>
      </c>
      <c r="C10" s="19" t="n">
        <v>0</v>
      </c>
      <c r="D10" s="19" t="n">
        <v>1</v>
      </c>
      <c r="E10" s="19" t="inlineStr">
        <is>
          <t>0%</t>
        </is>
      </c>
      <c r="F10" s="19" t="inlineStr">
        <is>
          <t>-1.68u</t>
        </is>
      </c>
      <c r="G10" s="19" t="inlineStr">
        <is>
          <t>-0.17%</t>
        </is>
      </c>
      <c r="H10" s="19" t="inlineStr">
        <is>
          <t>-2.70%</t>
        </is>
      </c>
    </row>
    <row r="11" ht="20" customHeight="1">
      <c r="A11" s="16" t="inlineStr">
        <is>
          <t>La Liga</t>
        </is>
      </c>
      <c r="B11" s="17" t="n">
        <v>1</v>
      </c>
      <c r="C11" s="17" t="n">
        <v>1</v>
      </c>
      <c r="D11" s="17" t="n">
        <v>0</v>
      </c>
      <c r="E11" s="17" t="inlineStr">
        <is>
          <t>100%</t>
        </is>
      </c>
      <c r="F11" s="17" t="inlineStr">
        <is>
          <t>+1.79u</t>
        </is>
      </c>
      <c r="G11" s="17" t="inlineStr">
        <is>
          <t>0.18%</t>
        </is>
      </c>
      <c r="H11" s="17" t="inlineStr">
        <is>
          <t>-1.94%</t>
        </is>
      </c>
    </row>
    <row r="12" ht="20" customHeight="1">
      <c r="A12" s="18" t="inlineStr">
        <is>
          <t>Bundesliga</t>
        </is>
      </c>
      <c r="B12" s="19" t="n">
        <v>1</v>
      </c>
      <c r="C12" s="19" t="n">
        <v>1</v>
      </c>
      <c r="D12" s="19" t="n">
        <v>0</v>
      </c>
      <c r="E12" s="19" t="inlineStr">
        <is>
          <t>100%</t>
        </is>
      </c>
      <c r="F12" s="19" t="inlineStr">
        <is>
          <t>+2.88u</t>
        </is>
      </c>
      <c r="G12" s="19" t="inlineStr">
        <is>
          <t>0.29%</t>
        </is>
      </c>
      <c r="H12" s="19" t="inlineStr">
        <is>
          <t>-1.90%</t>
        </is>
      </c>
    </row>
    <row r="13" ht="20" customHeight="1">
      <c r="A13" s="16" t="inlineStr">
        <is>
          <t>Serie A</t>
        </is>
      </c>
      <c r="B13" s="17" t="n">
        <v>1</v>
      </c>
      <c r="C13" s="17" t="n">
        <v>0</v>
      </c>
      <c r="D13" s="17" t="n">
        <v>1</v>
      </c>
      <c r="E13" s="17" t="inlineStr">
        <is>
          <t>0%</t>
        </is>
      </c>
      <c r="F13" s="17" t="inlineStr">
        <is>
          <t>-1.84u</t>
        </is>
      </c>
      <c r="G13" s="17" t="inlineStr">
        <is>
          <t>-0.18%</t>
        </is>
      </c>
      <c r="H13" s="17" t="inlineStr">
        <is>
          <t>-2.08%</t>
        </is>
      </c>
    </row>
    <row r="14" ht="20" customHeight="1">
      <c r="A14" s="18" t="inlineStr">
        <is>
          <t>Ligue 1</t>
        </is>
      </c>
      <c r="B14" s="19" t="n">
        <v>1</v>
      </c>
      <c r="C14" s="19" t="n">
        <v>1</v>
      </c>
      <c r="D14" s="19" t="n">
        <v>0</v>
      </c>
      <c r="E14" s="19" t="inlineStr">
        <is>
          <t>100%</t>
        </is>
      </c>
      <c r="F14" s="19" t="inlineStr">
        <is>
          <t>+1.22u</t>
        </is>
      </c>
      <c r="G14" s="19" t="inlineStr">
        <is>
          <t>0.12%</t>
        </is>
      </c>
      <c r="H14" s="19" t="inlineStr">
        <is>
          <t>-2.07%</t>
        </is>
      </c>
    </row>
    <row r="15" ht="20" customHeight="1">
      <c r="A15" s="16" t="inlineStr">
        <is>
          <t>UEFA Champions League</t>
        </is>
      </c>
      <c r="B15" s="17" t="n">
        <v>1</v>
      </c>
      <c r="C15" s="17" t="n">
        <v>1</v>
      </c>
      <c r="D15" s="17" t="n">
        <v>0</v>
      </c>
      <c r="E15" s="17" t="inlineStr">
        <is>
          <t>100%</t>
        </is>
      </c>
      <c r="F15" s="17" t="inlineStr">
        <is>
          <t>+2.88u</t>
        </is>
      </c>
      <c r="G15" s="17" t="inlineStr">
        <is>
          <t>0.29%</t>
        </is>
      </c>
      <c r="H15" s="17" t="inlineStr">
        <is>
          <t>-3.03%</t>
        </is>
      </c>
    </row>
    <row r="17" ht="26" customHeight="1">
      <c r="A17" s="14" t="inlineStr">
        <is>
          <t>PERFORMANCE POR TIER</t>
        </is>
      </c>
    </row>
    <row r="18" ht="24" customHeight="1">
      <c r="A18" s="15" t="inlineStr">
        <is>
          <t>Tier</t>
        </is>
      </c>
      <c r="B18" s="15" t="inlineStr">
        <is>
          <t>Apostas</t>
        </is>
      </c>
      <c r="C18" s="15" t="inlineStr">
        <is>
          <t>Greens</t>
        </is>
      </c>
      <c r="D18" s="15" t="inlineStr">
        <is>
          <t>Reds</t>
        </is>
      </c>
      <c r="E18" s="15" t="inlineStr">
        <is>
          <t>WR%</t>
        </is>
      </c>
      <c r="F18" s="15" t="inlineStr">
        <is>
          <t>Lucro(u)</t>
        </is>
      </c>
      <c r="G18" s="15" t="inlineStr">
        <is>
          <t>ROI%</t>
        </is>
      </c>
      <c r="H18" s="15" t="inlineStr"/>
    </row>
    <row r="19" ht="24" customHeight="1">
      <c r="A19" s="33" t="inlineStr">
        <is>
          <t>Premium</t>
        </is>
      </c>
      <c r="B19" s="34" t="n">
        <v>5</v>
      </c>
      <c r="C19" s="34" t="n">
        <v>3</v>
      </c>
      <c r="D19" s="34" t="n">
        <v>2</v>
      </c>
      <c r="E19" s="34" t="inlineStr">
        <is>
          <t>60%</t>
        </is>
      </c>
      <c r="F19" s="34" t="inlineStr">
        <is>
          <t>+2.24u</t>
        </is>
      </c>
      <c r="G19" s="34" t="inlineStr">
        <is>
          <t>0.22%</t>
        </is>
      </c>
      <c r="H19" s="34" t="inlineStr"/>
    </row>
    <row r="20" ht="24" customHeight="1">
      <c r="A20" s="16" t="inlineStr">
        <is>
          <t>Padrão</t>
        </is>
      </c>
      <c r="B20" s="17" t="n">
        <v>2</v>
      </c>
      <c r="C20" s="17" t="n">
        <v>2</v>
      </c>
      <c r="D20" s="17" t="n">
        <v>0</v>
      </c>
      <c r="E20" s="17" t="inlineStr">
        <is>
          <t>100%</t>
        </is>
      </c>
      <c r="F20" s="17" t="inlineStr">
        <is>
          <t>+3.01u</t>
        </is>
      </c>
      <c r="G20" s="17" t="inlineStr">
        <is>
          <t>0.30%</t>
        </is>
      </c>
      <c r="H20" s="17" t="inlineStr"/>
    </row>
    <row r="21" ht="24" customHeight="1">
      <c r="A21" s="35" t="inlineStr">
        <is>
          <t>Elite</t>
        </is>
      </c>
      <c r="B21" s="36" t="n">
        <v>2</v>
      </c>
      <c r="C21" s="36" t="n">
        <v>2</v>
      </c>
      <c r="D21" s="36" t="n">
        <v>0</v>
      </c>
      <c r="E21" s="36" t="inlineStr">
        <is>
          <t>100%</t>
        </is>
      </c>
      <c r="F21" s="36" t="inlineStr">
        <is>
          <t>+5.76u</t>
        </is>
      </c>
      <c r="G21" s="36" t="inlineStr">
        <is>
          <t>0.58%</t>
        </is>
      </c>
      <c r="H21" s="36" t="inlineStr"/>
    </row>
    <row r="23" ht="26" customHeight="1">
      <c r="A23" s="14" t="inlineStr">
        <is>
          <t>SINAIS DO MÊS</t>
        </is>
      </c>
    </row>
    <row r="24" ht="24" customHeight="1">
      <c r="A24" s="15" t="inlineStr">
        <is>
          <t>Data</t>
        </is>
      </c>
      <c r="B24" s="15" t="inlineStr">
        <is>
          <t>Jogo</t>
        </is>
      </c>
      <c r="C24" s="15" t="inlineStr">
        <is>
          <t>Tip</t>
        </is>
      </c>
      <c r="D24" s="15" t="inlineStr">
        <is>
          <t>Odd</t>
        </is>
      </c>
      <c r="E24" s="15" t="inlineStr">
        <is>
          <t>Resultado</t>
        </is>
      </c>
      <c r="F24" s="15" t="inlineStr">
        <is>
          <t>CLV%</t>
        </is>
      </c>
      <c r="G24" s="15" t="inlineStr">
        <is>
          <t>Unidades</t>
        </is>
      </c>
      <c r="H24" s="15" t="inlineStr">
        <is>
          <t>Banca</t>
        </is>
      </c>
    </row>
    <row r="25" ht="20" customHeight="1">
      <c r="A25" s="17" t="inlineStr">
        <is>
          <t>2026-03-22</t>
        </is>
      </c>
      <c r="B25" s="16" t="inlineStr">
        <is>
          <t>Palmeiras vs Botafogo</t>
        </is>
      </c>
      <c r="C25" s="17" t="inlineStr">
        <is>
          <t>Casa</t>
        </is>
      </c>
      <c r="D25" s="17" t="n">
        <v>1.79</v>
      </c>
      <c r="E25" s="22" t="inlineStr">
        <is>
          <t>Pendente</t>
        </is>
      </c>
      <c r="F25" s="17" t="inlineStr">
        <is>
          <t>-</t>
        </is>
      </c>
      <c r="G25" s="17" t="inlineStr">
        <is>
          <t>1.76u</t>
        </is>
      </c>
      <c r="H25" s="17" t="inlineStr">
        <is>
          <t>-</t>
        </is>
      </c>
    </row>
    <row r="26" ht="20" customHeight="1">
      <c r="A26" s="19" t="inlineStr">
        <is>
          <t>2026-03-22</t>
        </is>
      </c>
      <c r="B26" s="18" t="inlineStr">
        <is>
          <t>Real Madrid vs Atletico Madrid</t>
        </is>
      </c>
      <c r="C26" s="19" t="inlineStr">
        <is>
          <t>Casa</t>
        </is>
      </c>
      <c r="D26" s="19" t="n">
        <v>1.98</v>
      </c>
      <c r="E26" s="25" t="inlineStr">
        <is>
          <t>Green</t>
        </is>
      </c>
      <c r="F26" s="19" t="inlineStr">
        <is>
          <t>-3.03%</t>
        </is>
      </c>
      <c r="G26" s="19" t="inlineStr">
        <is>
          <t>2.88u</t>
        </is>
      </c>
      <c r="H26" s="19" t="inlineStr">
        <is>
          <t>R$1,110.10</t>
        </is>
      </c>
    </row>
    <row r="27" ht="20" customHeight="1">
      <c r="A27" s="17" t="inlineStr">
        <is>
          <t>2026-03-22</t>
        </is>
      </c>
      <c r="B27" s="16" t="inlineStr">
        <is>
          <t>Tottenham vs Nottingham Forest</t>
        </is>
      </c>
      <c r="C27" s="17" t="inlineStr">
        <is>
          <t>Over 2.5</t>
        </is>
      </c>
      <c r="D27" s="17" t="n">
        <v>1.97</v>
      </c>
      <c r="E27" s="25" t="inlineStr">
        <is>
          <t>Green</t>
        </is>
      </c>
      <c r="F27" s="17" t="inlineStr">
        <is>
          <t>-2.03%</t>
        </is>
      </c>
      <c r="G27" s="17" t="inlineStr">
        <is>
          <t>2.08u</t>
        </is>
      </c>
      <c r="H27" s="17" t="inlineStr">
        <is>
          <t>R$1,081.30</t>
        </is>
      </c>
    </row>
    <row r="28" ht="20" customHeight="1">
      <c r="A28" s="19" t="inlineStr">
        <is>
          <t>2026-03-21</t>
        </is>
      </c>
      <c r="B28" s="18" t="inlineStr">
        <is>
          <t>Marseille vs Lille</t>
        </is>
      </c>
      <c r="C28" s="19" t="inlineStr">
        <is>
          <t>Casa</t>
        </is>
      </c>
      <c r="D28" s="19" t="n">
        <v>1.93</v>
      </c>
      <c r="E28" s="25" t="inlineStr">
        <is>
          <t>Green</t>
        </is>
      </c>
      <c r="F28" s="19" t="inlineStr">
        <is>
          <t>-2.07%</t>
        </is>
      </c>
      <c r="G28" s="19" t="inlineStr">
        <is>
          <t>1.22u</t>
        </is>
      </c>
      <c r="H28" s="19" t="inlineStr">
        <is>
          <t>R$1,060.50</t>
        </is>
      </c>
    </row>
    <row r="29" ht="20" customHeight="1">
      <c r="A29" s="17" t="inlineStr">
        <is>
          <t>2026-03-21</t>
        </is>
      </c>
      <c r="B29" s="16" t="inlineStr">
        <is>
          <t>AC Milan vs Torino</t>
        </is>
      </c>
      <c r="C29" s="17" t="inlineStr">
        <is>
          <t>Over 2.5</t>
        </is>
      </c>
      <c r="D29" s="17" t="n">
        <v>1.92</v>
      </c>
      <c r="E29" s="23" t="inlineStr">
        <is>
          <t>Red</t>
        </is>
      </c>
      <c r="F29" s="17" t="inlineStr">
        <is>
          <t>-2.08%</t>
        </is>
      </c>
      <c r="G29" s="17" t="inlineStr">
        <is>
          <t>1.84u</t>
        </is>
      </c>
      <c r="H29" s="17" t="inlineStr">
        <is>
          <t>R$1,048.30</t>
        </is>
      </c>
    </row>
    <row r="30" ht="20" customHeight="1">
      <c r="A30" s="19" t="inlineStr">
        <is>
          <t>2026-03-20</t>
        </is>
      </c>
      <c r="B30" s="18" t="inlineStr">
        <is>
          <t>Bayern Munich vs Union Berlin</t>
        </is>
      </c>
      <c r="C30" s="19" t="inlineStr">
        <is>
          <t>Casa</t>
        </is>
      </c>
      <c r="D30" s="19" t="n">
        <v>1.58</v>
      </c>
      <c r="E30" s="25" t="inlineStr">
        <is>
          <t>Green</t>
        </is>
      </c>
      <c r="F30" s="19" t="inlineStr">
        <is>
          <t>-1.90%</t>
        </is>
      </c>
      <c r="G30" s="19" t="inlineStr">
        <is>
          <t>2.88u</t>
        </is>
      </c>
      <c r="H30" s="19" t="inlineStr">
        <is>
          <t>R$1,066.70</t>
        </is>
      </c>
    </row>
    <row r="31" ht="20" customHeight="1">
      <c r="A31" s="17" t="inlineStr">
        <is>
          <t>2026-03-20</t>
        </is>
      </c>
      <c r="B31" s="16" t="inlineStr">
        <is>
          <t>Barcelona vs Rayo Vallecano</t>
        </is>
      </c>
      <c r="C31" s="17" t="inlineStr">
        <is>
          <t>Casa</t>
        </is>
      </c>
      <c r="D31" s="17" t="n">
        <v>1.55</v>
      </c>
      <c r="E31" s="25" t="inlineStr">
        <is>
          <t>Green</t>
        </is>
      </c>
      <c r="F31" s="17" t="inlineStr">
        <is>
          <t>-1.94%</t>
        </is>
      </c>
      <c r="G31" s="17" t="inlineStr">
        <is>
          <t>1.79u</t>
        </is>
      </c>
      <c r="H31" s="17" t="inlineStr">
        <is>
          <t>R$1,037.90</t>
        </is>
      </c>
    </row>
    <row r="32" ht="20" customHeight="1">
      <c r="A32" s="19" t="inlineStr">
        <is>
          <t>2026-03-19</t>
        </is>
      </c>
      <c r="B32" s="18" t="inlineStr">
        <is>
          <t>AS Roma vs Bologna</t>
        </is>
      </c>
      <c r="C32" s="19" t="inlineStr">
        <is>
          <t>Casa</t>
        </is>
      </c>
      <c r="D32" s="19" t="n">
        <v>1.85</v>
      </c>
      <c r="E32" s="23" t="inlineStr">
        <is>
          <t>Red</t>
        </is>
      </c>
      <c r="F32" s="19" t="inlineStr">
        <is>
          <t>-2.70%</t>
        </is>
      </c>
      <c r="G32" s="19" t="inlineStr">
        <is>
          <t>1.68u</t>
        </is>
      </c>
      <c r="H32" s="19" t="inlineStr">
        <is>
          <t>R$1,020.00</t>
        </is>
      </c>
    </row>
    <row r="33" ht="20" customHeight="1">
      <c r="A33" s="17" t="inlineStr">
        <is>
          <t>2026-03-19</t>
        </is>
      </c>
      <c r="B33" s="16" t="inlineStr">
        <is>
          <t>Brighton vs Liverpool</t>
        </is>
      </c>
      <c r="C33" s="17" t="inlineStr">
        <is>
          <t>Over 2.5</t>
        </is>
      </c>
      <c r="D33" s="17" t="n">
        <v>2.12</v>
      </c>
      <c r="E33" s="25" t="inlineStr">
        <is>
          <t>Green</t>
        </is>
      </c>
      <c r="F33" s="17" t="inlineStr">
        <is>
          <t>-3.30%</t>
        </is>
      </c>
      <c r="G33" s="17" t="inlineStr">
        <is>
          <t>1.76u</t>
        </is>
      </c>
      <c r="H33" s="17" t="inlineStr">
        <is>
          <t>R$1,036.80</t>
        </is>
      </c>
    </row>
    <row r="34" ht="20" customHeight="1">
      <c r="A34" s="19" t="inlineStr">
        <is>
          <t>2026-03-19</t>
        </is>
      </c>
      <c r="B34" s="18" t="inlineStr">
        <is>
          <t>Aston Villa vs West Ham</t>
        </is>
      </c>
      <c r="C34" s="19" t="inlineStr">
        <is>
          <t>Casa</t>
        </is>
      </c>
      <c r="D34" s="19" t="n">
        <v>2.02</v>
      </c>
      <c r="E34" s="25" t="inlineStr">
        <is>
          <t>Green</t>
        </is>
      </c>
      <c r="F34" s="19" t="inlineStr">
        <is>
          <t>-3.47%</t>
        </is>
      </c>
      <c r="G34" s="19" t="inlineStr">
        <is>
          <t>1.92u</t>
        </is>
      </c>
      <c r="H34" s="19" t="inlineStr">
        <is>
          <t>R$1,019.20</t>
        </is>
      </c>
    </row>
  </sheetData>
  <mergeCells count="14">
    <mergeCell ref="D4"/>
    <mergeCell ref="B4"/>
    <mergeCell ref="C4"/>
    <mergeCell ref="A4"/>
    <mergeCell ref="A7:H7"/>
    <mergeCell ref="E4"/>
    <mergeCell ref="A2:H2"/>
    <mergeCell ref="D5"/>
    <mergeCell ref="A17:H17"/>
    <mergeCell ref="A23:H23"/>
    <mergeCell ref="B5"/>
    <mergeCell ref="C5"/>
    <mergeCell ref="A5"/>
    <mergeCell ref="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33"/>
  <sheetViews>
    <sheetView showGridLines="0"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2" ht="42" customHeight="1">
      <c r="A2" s="37" t="inlineStr">
        <is>
          <t>💰 GESTÃO DE BANCA — KELLY FRACIONADO</t>
        </is>
      </c>
    </row>
    <row r="4" ht="26" customHeight="1">
      <c r="A4" s="38" t="inlineStr">
        <is>
          <t>⚙️ PARÂMETROS DO SISTEMA (editáveis — células amarelas)</t>
        </is>
      </c>
    </row>
    <row r="5" ht="24" customHeight="1">
      <c r="A5" s="39" t="inlineStr">
        <is>
          <t>Banca Inicial (R$)</t>
        </is>
      </c>
      <c r="B5" s="40" t="n">
        <v>1000</v>
      </c>
      <c r="C5" s="41" t="inlineStr">
        <is>
          <t>Valor base para cálculo de ROI</t>
        </is>
      </c>
      <c r="D5" s="85" t="n"/>
      <c r="E5" s="85" t="n"/>
      <c r="F5" s="85" t="n"/>
      <c r="G5" s="86" t="n"/>
    </row>
    <row r="6" ht="24" customHeight="1">
      <c r="A6" s="39" t="inlineStr">
        <is>
          <t>Fração Kelly</t>
        </is>
      </c>
      <c r="B6" s="40" t="n">
        <v>0.25</v>
      </c>
      <c r="C6" s="41" t="inlineStr">
        <is>
          <t>1/4 do Kelly completo = 0.25</t>
        </is>
      </c>
      <c r="D6" s="85" t="n"/>
      <c r="E6" s="85" t="n"/>
      <c r="F6" s="85" t="n"/>
      <c r="G6" s="86" t="n"/>
    </row>
    <row r="7" ht="24" customHeight="1">
      <c r="A7" s="39" t="inlineStr">
        <is>
          <t>Teto por Aposta (%)</t>
        </is>
      </c>
      <c r="B7" s="40" t="n">
        <v>0.03</v>
      </c>
      <c r="C7" s="41" t="inlineStr">
        <is>
          <t>Máximo 3% da banca por aposta</t>
        </is>
      </c>
      <c r="D7" s="85" t="n"/>
      <c r="E7" s="85" t="n"/>
      <c r="F7" s="85" t="n"/>
      <c r="G7" s="86" t="n"/>
    </row>
    <row r="8" ht="24" customHeight="1">
      <c r="A8" s="39" t="inlineStr">
        <is>
          <t>Piso Mínimo (%)</t>
        </is>
      </c>
      <c r="B8" s="40" t="n">
        <v>0.005</v>
      </c>
      <c r="C8" s="41" t="inlineStr">
        <is>
          <t>Mínimo 0.5% para gerar sinal</t>
        </is>
      </c>
      <c r="D8" s="85" t="n"/>
      <c r="E8" s="85" t="n"/>
      <c r="F8" s="85" t="n"/>
      <c r="G8" s="86" t="n"/>
    </row>
    <row r="9" ht="24" customHeight="1">
      <c r="A9" s="39" t="inlineStr">
        <is>
          <t>Exposição Máxima (%)</t>
        </is>
      </c>
      <c r="B9" s="40" t="n">
        <v>0.15</v>
      </c>
      <c r="C9" s="41" t="inlineStr">
        <is>
          <t>Total em apostas abertas = 15%</t>
        </is>
      </c>
      <c r="D9" s="85" t="n"/>
      <c r="E9" s="85" t="n"/>
      <c r="F9" s="85" t="n"/>
      <c r="G9" s="86" t="n"/>
    </row>
    <row r="10" ht="24" customHeight="1">
      <c r="A10" s="39" t="inlineStr">
        <is>
          <t>Alerta Drawdown (%)</t>
        </is>
      </c>
      <c r="B10" s="40" t="n">
        <v>0.2</v>
      </c>
      <c r="C10" s="41" t="inlineStr">
        <is>
          <t>Alerta quando drawdown &gt; 20%</t>
        </is>
      </c>
      <c r="D10" s="85" t="n"/>
      <c r="E10" s="85" t="n"/>
      <c r="F10" s="85" t="n"/>
      <c r="G10" s="86" t="n"/>
    </row>
    <row r="12" ht="26" customHeight="1">
      <c r="A12" s="42" t="inlineStr">
        <is>
          <t>🧮 CALCULADORA KELLY (interativa — preencha campos azuis)</t>
        </is>
      </c>
    </row>
    <row r="13" ht="24" customHeight="1">
      <c r="A13" s="39" t="inlineStr">
        <is>
          <t>Probabilidade do Modelo</t>
        </is>
      </c>
      <c r="B13" s="40" t="n">
        <v>0.6</v>
      </c>
    </row>
    <row r="14" ht="24" customHeight="1">
      <c r="A14" s="39" t="inlineStr">
        <is>
          <t>Odd Disponível</t>
        </is>
      </c>
      <c r="B14" s="40" t="n">
        <v>1.92</v>
      </c>
    </row>
    <row r="15" ht="24" customHeight="1">
      <c r="A15" s="39" t="inlineStr">
        <is>
          <t>Tier</t>
        </is>
      </c>
      <c r="B15" s="40" t="inlineStr">
        <is>
          <t>Premium</t>
        </is>
      </c>
    </row>
    <row r="16" ht="24" customHeight="1">
      <c r="A16" s="39" t="inlineStr">
        <is>
          <t>Kelly Completo</t>
        </is>
      </c>
      <c r="B16" s="43">
        <f>(B13*B14-1)/(B14-1)</f>
        <v/>
      </c>
      <c r="C16" s="41" t="inlineStr">
        <is>
          <t>Calculado automaticamente</t>
        </is>
      </c>
      <c r="D16" s="85" t="n"/>
      <c r="E16" s="85" t="n"/>
      <c r="F16" s="85" t="n"/>
      <c r="G16" s="86" t="n"/>
    </row>
    <row r="17" ht="24" customHeight="1">
      <c r="A17" s="39" t="inlineStr">
        <is>
          <t>Kelly Fracionado (×0.25)</t>
        </is>
      </c>
      <c r="B17" s="43">
        <f>B16*B5</f>
        <v/>
      </c>
      <c r="C17" s="41" t="inlineStr">
        <is>
          <t>Kelly × fração configurada</t>
        </is>
      </c>
      <c r="D17" s="85" t="n"/>
      <c r="E17" s="85" t="n"/>
      <c r="F17" s="85" t="n"/>
      <c r="G17" s="86" t="n"/>
    </row>
    <row r="18" ht="24" customHeight="1">
      <c r="A18" s="39" t="inlineStr">
        <is>
          <t>Multiplicador Tier</t>
        </is>
      </c>
      <c r="B18" s="43">
        <f>IF(B15="Elite",1.2,IF(B15="Premium",1.0,0.8))</f>
        <v/>
      </c>
      <c r="C18" s="41" t="inlineStr">
        <is>
          <t>Padrão 0.8 | Premium 1.0 | Elite 1.2</t>
        </is>
      </c>
      <c r="D18" s="85" t="n"/>
      <c r="E18" s="85" t="n"/>
      <c r="F18" s="85" t="n"/>
      <c r="G18" s="86" t="n"/>
    </row>
    <row r="19" ht="24" customHeight="1">
      <c r="A19" s="39" t="inlineStr">
        <is>
          <t>Unidades Recomendadas</t>
        </is>
      </c>
      <c r="B19" s="43">
        <f>B17*B18</f>
        <v/>
      </c>
      <c r="C19" s="41" t="inlineStr">
        <is>
          <t>Antes do teto máximo</t>
        </is>
      </c>
      <c r="D19" s="85" t="n"/>
      <c r="E19" s="85" t="n"/>
      <c r="F19" s="85" t="n"/>
      <c r="G19" s="86" t="n"/>
    </row>
    <row r="20" ht="24" customHeight="1">
      <c r="A20" s="39" t="inlineStr">
        <is>
          <t>Teto Aplicado (3%)</t>
        </is>
      </c>
      <c r="B20" s="43">
        <f>MIN(B19,B7)</f>
        <v/>
      </c>
      <c r="C20" s="41" t="inlineStr">
        <is>
          <t>Mínimo entre Kelly e teto</t>
        </is>
      </c>
      <c r="D20" s="85" t="n"/>
      <c r="E20" s="85" t="n"/>
      <c r="F20" s="85" t="n"/>
      <c r="G20" s="86" t="n"/>
    </row>
    <row r="21" ht="24" customHeight="1">
      <c r="A21" s="39" t="inlineStr">
        <is>
          <t>Valor em R$ (banca atual)</t>
        </is>
      </c>
      <c r="B21" s="43">
        <f>B20*1110.10</f>
        <v/>
      </c>
      <c r="C21" s="41" t="inlineStr">
        <is>
          <t>Stake final recomendada</t>
        </is>
      </c>
      <c r="D21" s="85" t="n"/>
      <c r="E21" s="85" t="n"/>
      <c r="F21" s="85" t="n"/>
      <c r="G21" s="86" t="n"/>
    </row>
    <row r="23" ht="26" customHeight="1">
      <c r="A23" s="38" t="inlineStr">
        <is>
          <t>🏆 TIERS DE STAKE</t>
        </is>
      </c>
    </row>
    <row r="24" ht="26" customHeight="1">
      <c r="A24" s="44" t="inlineStr">
        <is>
          <t>🔥 ELITE (Score 90+)</t>
        </is>
      </c>
      <c r="B24" s="45" t="inlineStr">
        <is>
          <t>Kelly × 1.2</t>
        </is>
      </c>
      <c r="C24" s="46" t="inlineStr">
        <is>
          <t>Máxima confiança — stake mais alta</t>
        </is>
      </c>
      <c r="D24" s="85" t="n"/>
      <c r="E24" s="85" t="n"/>
      <c r="F24" s="85" t="n"/>
      <c r="G24" s="86" t="n"/>
    </row>
    <row r="25" ht="26" customHeight="1">
      <c r="A25" s="47" t="inlineStr">
        <is>
          <t>⚡ PREMIUM (Score 80-89)</t>
        </is>
      </c>
      <c r="B25" s="48" t="inlineStr">
        <is>
          <t>Kelly × 1.0</t>
        </is>
      </c>
      <c r="C25" s="70" t="inlineStr">
        <is>
          <t>Alta confiança — stake padrão</t>
        </is>
      </c>
      <c r="D25" s="85" t="n"/>
      <c r="E25" s="85" t="n"/>
      <c r="F25" s="85" t="n"/>
      <c r="G25" s="86" t="n"/>
    </row>
    <row r="26" ht="26" customHeight="1">
      <c r="A26" s="50" t="inlineStr">
        <is>
          <t>✅ PADRÃO (Score 72-79)</t>
        </is>
      </c>
      <c r="B26" s="51" t="inlineStr">
        <is>
          <t>Kelly × 0.8</t>
        </is>
      </c>
      <c r="C26" s="52" t="inlineStr">
        <is>
          <t>Confiança moderada — stake reduzida</t>
        </is>
      </c>
      <c r="D26" s="85" t="n"/>
      <c r="E26" s="85" t="n"/>
      <c r="F26" s="85" t="n"/>
      <c r="G26" s="86" t="n"/>
    </row>
    <row r="28" ht="26" customHeight="1">
      <c r="A28" s="14" t="inlineStr">
        <is>
          <t>📈 HISTÓRICO DIÁRIO DE BANCA</t>
        </is>
      </c>
    </row>
    <row r="29" ht="24" customHeight="1">
      <c r="A29" s="15" t="inlineStr">
        <is>
          <t>Data</t>
        </is>
      </c>
      <c r="B29" s="15" t="inlineStr">
        <is>
          <t>Banca Início</t>
        </is>
      </c>
      <c r="C29" s="15" t="inlineStr">
        <is>
          <t>Apostas</t>
        </is>
      </c>
      <c r="D29" s="15" t="inlineStr">
        <is>
          <t>Resultado Dia</t>
        </is>
      </c>
      <c r="E29" s="15" t="inlineStr">
        <is>
          <t>Banca Fim</t>
        </is>
      </c>
      <c r="F29" s="15" t="inlineStr">
        <is>
          <t>Variação %</t>
        </is>
      </c>
      <c r="G29" s="15" t="inlineStr">
        <is>
          <t>Drawdown %</t>
        </is>
      </c>
    </row>
    <row r="30" ht="22" customHeight="1">
      <c r="A30" s="17" t="inlineStr">
        <is>
          <t>2026-03-19</t>
        </is>
      </c>
      <c r="B30" s="17" t="inlineStr">
        <is>
          <t>R$1,000.00</t>
        </is>
      </c>
      <c r="C30" s="17" t="n">
        <v>3</v>
      </c>
      <c r="D30" s="53" t="inlineStr">
        <is>
          <t>+2.00u</t>
        </is>
      </c>
      <c r="E30" s="53" t="inlineStr">
        <is>
          <t>R$1,002.00</t>
        </is>
      </c>
      <c r="F30" s="53" t="inlineStr">
        <is>
          <t>+0.20%</t>
        </is>
      </c>
      <c r="G30" s="17" t="inlineStr">
        <is>
          <t>0.00%</t>
        </is>
      </c>
    </row>
    <row r="31" ht="22" customHeight="1">
      <c r="A31" s="19" t="inlineStr">
        <is>
          <t>2026-03-20</t>
        </is>
      </c>
      <c r="B31" s="19" t="inlineStr">
        <is>
          <t>R$1,002.00</t>
        </is>
      </c>
      <c r="C31" s="19" t="n">
        <v>2</v>
      </c>
      <c r="D31" s="53" t="inlineStr">
        <is>
          <t>+5.10u</t>
        </is>
      </c>
      <c r="E31" s="53" t="inlineStr">
        <is>
          <t>R$1,004.06</t>
        </is>
      </c>
      <c r="F31" s="53" t="inlineStr">
        <is>
          <t>+0.47%</t>
        </is>
      </c>
      <c r="G31" s="19" t="inlineStr">
        <is>
          <t>0.00%</t>
        </is>
      </c>
    </row>
    <row r="32" ht="22" customHeight="1">
      <c r="A32" s="17" t="inlineStr">
        <is>
          <t>2026-03-21</t>
        </is>
      </c>
      <c r="B32" s="17" t="inlineStr">
        <is>
          <t>R$1,006.67</t>
        </is>
      </c>
      <c r="C32" s="17" t="n">
        <v>2</v>
      </c>
      <c r="D32" s="54" t="inlineStr">
        <is>
          <t>+2.03u</t>
        </is>
      </c>
      <c r="E32" s="54" t="inlineStr">
        <is>
          <t>R$1,030.48</t>
        </is>
      </c>
      <c r="F32" s="54" t="inlineStr">
        <is>
          <t>-0.06%</t>
        </is>
      </c>
      <c r="G32" s="17" t="inlineStr">
        <is>
          <t>0.06%</t>
        </is>
      </c>
    </row>
    <row r="33" ht="22" customHeight="1">
      <c r="A33" s="19" t="inlineStr">
        <is>
          <t>2026-03-22</t>
        </is>
      </c>
      <c r="B33" s="19" t="inlineStr">
        <is>
          <t>R$1,006.05</t>
        </is>
      </c>
      <c r="C33" s="19" t="n">
        <v>3</v>
      </c>
      <c r="D33" s="53" t="inlineStr">
        <is>
          <t>+3.92u</t>
        </is>
      </c>
      <c r="E33" s="53" t="inlineStr">
        <is>
          <t>R$1,019.67</t>
        </is>
      </c>
      <c r="F33" s="53" t="inlineStr">
        <is>
          <t>+0.49%</t>
        </is>
      </c>
      <c r="G33" s="19" t="inlineStr">
        <is>
          <t>0.00%</t>
        </is>
      </c>
    </row>
  </sheetData>
  <mergeCells count="20">
    <mergeCell ref="C6:G6"/>
    <mergeCell ref="C24:G24"/>
    <mergeCell ref="A4:G4"/>
    <mergeCell ref="C5:G5"/>
    <mergeCell ref="A28:G28"/>
    <mergeCell ref="C26:G26"/>
    <mergeCell ref="C20:G20"/>
    <mergeCell ref="C10:G10"/>
    <mergeCell ref="C16:G16"/>
    <mergeCell ref="C25:G25"/>
    <mergeCell ref="C9:G9"/>
    <mergeCell ref="C21:G21"/>
    <mergeCell ref="C8:G8"/>
    <mergeCell ref="C17:G17"/>
    <mergeCell ref="C7:G7"/>
    <mergeCell ref="A12:G12"/>
    <mergeCell ref="C19:G19"/>
    <mergeCell ref="A2:G2"/>
    <mergeCell ref="C18:G18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3" customWidth="1" min="3" max="3"/>
    <col width="15" customWidth="1" min="4" max="4"/>
    <col width="12" customWidth="1" min="5" max="5"/>
    <col width="10" customWidth="1" min="6" max="6"/>
    <col width="13" customWidth="1" min="7" max="7"/>
    <col width="10" customWidth="1" min="8" max="8"/>
  </cols>
  <sheetData>
    <row r="2" ht="42" customHeight="1">
      <c r="A2" s="37" t="inlineStr">
        <is>
          <t>📊 VALIDAÇÃO DO MODELO — CLV &amp; BRIER SCORE</t>
        </is>
      </c>
    </row>
    <row r="4" ht="26" customHeight="1">
      <c r="A4" s="9" t="inlineStr">
        <is>
          <t>CLV MÉDIO GERAL</t>
        </is>
      </c>
      <c r="C4" s="12" t="inlineStr">
        <is>
          <t>% CLV POSITIVO</t>
        </is>
      </c>
      <c r="E4" s="3" t="inlineStr">
        <is>
          <t>APOSTAS COM CLV</t>
        </is>
      </c>
      <c r="G4" s="4" t="inlineStr">
        <is>
          <t>BRIER SCORE</t>
        </is>
      </c>
    </row>
    <row r="5" ht="34" customHeight="1">
      <c r="A5" s="55" t="inlineStr">
        <is>
          <t>-2.50%</t>
        </is>
      </c>
      <c r="B5" s="86" t="n"/>
      <c r="C5" s="56" t="inlineStr">
        <is>
          <t>0.0%</t>
        </is>
      </c>
      <c r="D5" s="86" t="n"/>
      <c r="E5" s="57" t="inlineStr">
        <is>
          <t>9</t>
        </is>
      </c>
      <c r="F5" s="86" t="n"/>
      <c r="G5" s="58" t="inlineStr">
        <is>
          <t>0.1854</t>
        </is>
      </c>
      <c r="H5" s="86" t="n"/>
    </row>
    <row r="7" ht="26" customHeight="1">
      <c r="A7" s="14" t="inlineStr">
        <is>
          <t>CLV DETALHADO POR APOSTA</t>
        </is>
      </c>
    </row>
    <row r="8" ht="24" customHeight="1">
      <c r="A8" s="15" t="inlineStr">
        <is>
          <t>Data</t>
        </is>
      </c>
      <c r="B8" s="15" t="inlineStr">
        <is>
          <t>Jogo</t>
        </is>
      </c>
      <c r="C8" s="15" t="inlineStr">
        <is>
          <t>Odd Entrada</t>
        </is>
      </c>
      <c r="D8" s="15" t="inlineStr">
        <is>
          <t>Odd Fechamento</t>
        </is>
      </c>
      <c r="E8" s="15" t="inlineStr">
        <is>
          <t>CLV%</t>
        </is>
      </c>
      <c r="F8" s="15" t="inlineStr">
        <is>
          <t>EV%</t>
        </is>
      </c>
      <c r="G8" s="15" t="inlineStr">
        <is>
          <t>Resultado</t>
        </is>
      </c>
      <c r="H8" s="15" t="inlineStr">
        <is>
          <t>Brier</t>
        </is>
      </c>
    </row>
    <row r="9" ht="20" customHeight="1">
      <c r="A9" s="17" t="inlineStr">
        <is>
          <t>2026-03-19</t>
        </is>
      </c>
      <c r="B9" s="16" t="inlineStr">
        <is>
          <t>Aston Villa vs West Ham</t>
        </is>
      </c>
      <c r="C9" s="17" t="n">
        <v>2.02</v>
      </c>
      <c r="D9" s="17" t="n">
        <v>1.95</v>
      </c>
      <c r="E9" s="23" t="inlineStr">
        <is>
          <t>-3.47%</t>
        </is>
      </c>
      <c r="F9" s="17" t="inlineStr">
        <is>
          <t>8.2%</t>
        </is>
      </c>
      <c r="G9" s="25" t="inlineStr">
        <is>
          <t>Green</t>
        </is>
      </c>
      <c r="H9" s="17" t="inlineStr">
        <is>
          <t>0.1521</t>
        </is>
      </c>
    </row>
    <row r="10" ht="20" customHeight="1">
      <c r="A10" s="19" t="inlineStr">
        <is>
          <t>2026-03-19</t>
        </is>
      </c>
      <c r="B10" s="18" t="inlineStr">
        <is>
          <t>Brighton vs Liverpool</t>
        </is>
      </c>
      <c r="C10" s="19" t="n">
        <v>2.12</v>
      </c>
      <c r="D10" s="19" t="n">
        <v>2.05</v>
      </c>
      <c r="E10" s="23" t="inlineStr">
        <is>
          <t>-3.30%</t>
        </is>
      </c>
      <c r="F10" s="19" t="inlineStr">
        <is>
          <t>7.8%</t>
        </is>
      </c>
      <c r="G10" s="25" t="inlineStr">
        <is>
          <t>Green</t>
        </is>
      </c>
      <c r="H10" s="19" t="inlineStr">
        <is>
          <t>0.1681</t>
        </is>
      </c>
    </row>
    <row r="11" ht="20" customHeight="1">
      <c r="A11" s="17" t="inlineStr">
        <is>
          <t>2026-03-19</t>
        </is>
      </c>
      <c r="B11" s="16" t="inlineStr">
        <is>
          <t>AS Roma vs Bologna</t>
        </is>
      </c>
      <c r="C11" s="17" t="n">
        <v>1.85</v>
      </c>
      <c r="D11" s="17" t="n">
        <v>1.8</v>
      </c>
      <c r="E11" s="23" t="inlineStr">
        <is>
          <t>-2.70%</t>
        </is>
      </c>
      <c r="F11" s="17" t="inlineStr">
        <is>
          <t>6.9%</t>
        </is>
      </c>
      <c r="G11" s="23" t="inlineStr">
        <is>
          <t>Red</t>
        </is>
      </c>
      <c r="H11" s="17" t="inlineStr">
        <is>
          <t>0.3844</t>
        </is>
      </c>
    </row>
    <row r="12" ht="20" customHeight="1">
      <c r="A12" s="19" t="inlineStr">
        <is>
          <t>2026-03-20</t>
        </is>
      </c>
      <c r="B12" s="18" t="inlineStr">
        <is>
          <t>Barcelona vs Rayo Vallecano</t>
        </is>
      </c>
      <c r="C12" s="19" t="n">
        <v>1.55</v>
      </c>
      <c r="D12" s="19" t="n">
        <v>1.52</v>
      </c>
      <c r="E12" s="23" t="inlineStr">
        <is>
          <t>-1.94%</t>
        </is>
      </c>
      <c r="F12" s="19" t="inlineStr">
        <is>
          <t>7.1%</t>
        </is>
      </c>
      <c r="G12" s="25" t="inlineStr">
        <is>
          <t>Green</t>
        </is>
      </c>
      <c r="H12" s="19" t="inlineStr">
        <is>
          <t>0.0784</t>
        </is>
      </c>
    </row>
    <row r="13" ht="20" customHeight="1">
      <c r="A13" s="17" t="inlineStr">
        <is>
          <t>2026-03-20</t>
        </is>
      </c>
      <c r="B13" s="16" t="inlineStr">
        <is>
          <t>Bayern Munich vs Union Berlin</t>
        </is>
      </c>
      <c r="C13" s="17" t="n">
        <v>1.58</v>
      </c>
      <c r="D13" s="17" t="n">
        <v>1.55</v>
      </c>
      <c r="E13" s="23" t="inlineStr">
        <is>
          <t>-1.90%</t>
        </is>
      </c>
      <c r="F13" s="17" t="inlineStr">
        <is>
          <t>9.4%</t>
        </is>
      </c>
      <c r="G13" s="25" t="inlineStr">
        <is>
          <t>Green</t>
        </is>
      </c>
      <c r="H13" s="17" t="inlineStr">
        <is>
          <t>0.0676</t>
        </is>
      </c>
    </row>
    <row r="14" ht="20" customHeight="1">
      <c r="A14" s="19" t="inlineStr">
        <is>
          <t>2026-03-21</t>
        </is>
      </c>
      <c r="B14" s="18" t="inlineStr">
        <is>
          <t>AC Milan vs Torino</t>
        </is>
      </c>
      <c r="C14" s="19" t="n">
        <v>1.92</v>
      </c>
      <c r="D14" s="19" t="n">
        <v>1.88</v>
      </c>
      <c r="E14" s="23" t="inlineStr">
        <is>
          <t>-2.08%</t>
        </is>
      </c>
      <c r="F14" s="19" t="inlineStr">
        <is>
          <t>7.3%</t>
        </is>
      </c>
      <c r="G14" s="23" t="inlineStr">
        <is>
          <t>Red</t>
        </is>
      </c>
      <c r="H14" s="19" t="inlineStr">
        <is>
          <t>0.3600</t>
        </is>
      </c>
    </row>
    <row r="15" ht="20" customHeight="1">
      <c r="A15" s="17" t="inlineStr">
        <is>
          <t>2026-03-21</t>
        </is>
      </c>
      <c r="B15" s="16" t="inlineStr">
        <is>
          <t>Marseille vs Lille</t>
        </is>
      </c>
      <c r="C15" s="17" t="n">
        <v>1.93</v>
      </c>
      <c r="D15" s="17" t="n">
        <v>1.89</v>
      </c>
      <c r="E15" s="23" t="inlineStr">
        <is>
          <t>-2.07%</t>
        </is>
      </c>
      <c r="F15" s="17" t="inlineStr">
        <is>
          <t>6.5%</t>
        </is>
      </c>
      <c r="G15" s="25" t="inlineStr">
        <is>
          <t>Green</t>
        </is>
      </c>
      <c r="H15" s="17" t="inlineStr">
        <is>
          <t>0.1764</t>
        </is>
      </c>
    </row>
    <row r="16" ht="20" customHeight="1">
      <c r="A16" s="19" t="inlineStr">
        <is>
          <t>2026-03-22</t>
        </is>
      </c>
      <c r="B16" s="18" t="inlineStr">
        <is>
          <t>Tottenham vs Nottingham Forest</t>
        </is>
      </c>
      <c r="C16" s="19" t="n">
        <v>1.97</v>
      </c>
      <c r="D16" s="19" t="n">
        <v>1.93</v>
      </c>
      <c r="E16" s="23" t="inlineStr">
        <is>
          <t>-2.03%</t>
        </is>
      </c>
      <c r="F16" s="19" t="inlineStr">
        <is>
          <t>8.8%</t>
        </is>
      </c>
      <c r="G16" s="25" t="inlineStr">
        <is>
          <t>Green</t>
        </is>
      </c>
      <c r="H16" s="19" t="inlineStr">
        <is>
          <t>0.1444</t>
        </is>
      </c>
    </row>
    <row r="17" ht="20" customHeight="1">
      <c r="A17" s="17" t="inlineStr">
        <is>
          <t>2026-03-22</t>
        </is>
      </c>
      <c r="B17" s="16" t="inlineStr">
        <is>
          <t>Real Madrid vs Atletico Madrid</t>
        </is>
      </c>
      <c r="C17" s="17" t="n">
        <v>1.98</v>
      </c>
      <c r="D17" s="17" t="n">
        <v>1.92</v>
      </c>
      <c r="E17" s="23" t="inlineStr">
        <is>
          <t>-3.03%</t>
        </is>
      </c>
      <c r="F17" s="17" t="inlineStr">
        <is>
          <t>9.1%</t>
        </is>
      </c>
      <c r="G17" s="25" t="inlineStr">
        <is>
          <t>Green</t>
        </is>
      </c>
      <c r="H17" s="17" t="inlineStr">
        <is>
          <t>0.1369</t>
        </is>
      </c>
    </row>
    <row r="19" ht="26" customHeight="1">
      <c r="A19" s="14" t="inlineStr">
        <is>
          <t>CALIBRAÇÃO DO MODELO — RELIABILITY DIAGRAM</t>
        </is>
      </c>
    </row>
    <row r="20" ht="24" customHeight="1">
      <c r="A20" s="15" t="inlineStr">
        <is>
          <t>Faixa Prob</t>
        </is>
      </c>
      <c r="B20" s="15" t="inlineStr">
        <is>
          <t>Apostas</t>
        </is>
      </c>
      <c r="C20" s="15" t="inlineStr">
        <is>
          <t>Acertos</t>
        </is>
      </c>
      <c r="D20" s="15" t="inlineStr">
        <is>
          <t>Freq Real</t>
        </is>
      </c>
      <c r="E20" s="15" t="inlineStr">
        <is>
          <t>Freq Prevista</t>
        </is>
      </c>
      <c r="F20" s="15" t="inlineStr">
        <is>
          <t>Desvio</t>
        </is>
      </c>
      <c r="G20" s="15" t="inlineStr">
        <is>
          <t>Status</t>
        </is>
      </c>
      <c r="H20" s="15" t="inlineStr"/>
    </row>
    <row r="21" ht="20" customHeight="1">
      <c r="A21" s="59" t="inlineStr">
        <is>
          <t>50%-55%</t>
        </is>
      </c>
      <c r="B21" s="59" t="n">
        <v>0</v>
      </c>
      <c r="C21" s="59" t="n">
        <v>0</v>
      </c>
      <c r="D21" s="59" t="inlineStr">
        <is>
          <t>0.0%</t>
        </is>
      </c>
      <c r="E21" s="59" t="inlineStr">
        <is>
          <t>52.5%</t>
        </is>
      </c>
      <c r="F21" s="59" t="inlineStr">
        <is>
          <t>52.5%</t>
        </is>
      </c>
      <c r="G21" s="59" t="inlineStr">
        <is>
          <t>⚠️ Descalibrado</t>
        </is>
      </c>
      <c r="H21" s="59" t="inlineStr"/>
    </row>
    <row r="22" ht="20" customHeight="1">
      <c r="A22" s="59" t="inlineStr">
        <is>
          <t>55%-60%</t>
        </is>
      </c>
      <c r="B22" s="59" t="n">
        <v>2</v>
      </c>
      <c r="C22" s="59" t="n">
        <v>2</v>
      </c>
      <c r="D22" s="59" t="inlineStr">
        <is>
          <t>100.0%</t>
        </is>
      </c>
      <c r="E22" s="59" t="inlineStr">
        <is>
          <t>57.5%</t>
        </is>
      </c>
      <c r="F22" s="59" t="inlineStr">
        <is>
          <t>42.5%</t>
        </is>
      </c>
      <c r="G22" s="59" t="inlineStr">
        <is>
          <t>⚠️ Descalibrado</t>
        </is>
      </c>
      <c r="H22" s="59" t="inlineStr"/>
    </row>
    <row r="23" ht="20" customHeight="1">
      <c r="A23" s="26" t="inlineStr">
        <is>
          <t>60%-65%</t>
        </is>
      </c>
      <c r="B23" s="26" t="n">
        <v>5</v>
      </c>
      <c r="C23" s="26" t="n">
        <v>3</v>
      </c>
      <c r="D23" s="26" t="inlineStr">
        <is>
          <t>60.0%</t>
        </is>
      </c>
      <c r="E23" s="26" t="inlineStr">
        <is>
          <t>62.5%</t>
        </is>
      </c>
      <c r="F23" s="26" t="inlineStr">
        <is>
          <t>2.5%</t>
        </is>
      </c>
      <c r="G23" s="26" t="inlineStr">
        <is>
          <t>✅ OK</t>
        </is>
      </c>
      <c r="H23" s="26" t="inlineStr"/>
    </row>
    <row r="24" ht="20" customHeight="1">
      <c r="A24" s="59" t="inlineStr">
        <is>
          <t>65%-70%</t>
        </is>
      </c>
      <c r="B24" s="59" t="n">
        <v>0</v>
      </c>
      <c r="C24" s="59" t="n">
        <v>0</v>
      </c>
      <c r="D24" s="59" t="inlineStr">
        <is>
          <t>0.0%</t>
        </is>
      </c>
      <c r="E24" s="59" t="inlineStr">
        <is>
          <t>67.5%</t>
        </is>
      </c>
      <c r="F24" s="59" t="inlineStr">
        <is>
          <t>67.5%</t>
        </is>
      </c>
      <c r="G24" s="59" t="inlineStr">
        <is>
          <t>⚠️ Descalibrado</t>
        </is>
      </c>
      <c r="H24" s="59" t="inlineStr"/>
    </row>
    <row r="25" ht="20" customHeight="1">
      <c r="A25" s="59" t="inlineStr">
        <is>
          <t>70%-75%</t>
        </is>
      </c>
      <c r="B25" s="59" t="n">
        <v>2</v>
      </c>
      <c r="C25" s="59" t="n">
        <v>2</v>
      </c>
      <c r="D25" s="59" t="inlineStr">
        <is>
          <t>100.0%</t>
        </is>
      </c>
      <c r="E25" s="59" t="inlineStr">
        <is>
          <t>72.5%</t>
        </is>
      </c>
      <c r="F25" s="59" t="inlineStr">
        <is>
          <t>27.5%</t>
        </is>
      </c>
      <c r="G25" s="59" t="inlineStr">
        <is>
          <t>⚠️ Descalibrado</t>
        </is>
      </c>
      <c r="H25" s="59" t="inlineStr"/>
    </row>
    <row r="26" ht="20" customHeight="1">
      <c r="A26" s="59" t="inlineStr">
        <is>
          <t>75%-100%</t>
        </is>
      </c>
      <c r="B26" s="59" t="n">
        <v>0</v>
      </c>
      <c r="C26" s="59" t="n">
        <v>0</v>
      </c>
      <c r="D26" s="59" t="inlineStr">
        <is>
          <t>0.0%</t>
        </is>
      </c>
      <c r="E26" s="59" t="inlineStr">
        <is>
          <t>87.5%</t>
        </is>
      </c>
      <c r="F26" s="59" t="inlineStr">
        <is>
          <t>87.5%</t>
        </is>
      </c>
      <c r="G26" s="59" t="inlineStr">
        <is>
          <t>⚠️ Descalibrado</t>
        </is>
      </c>
      <c r="H26" s="59" t="inlineStr"/>
    </row>
  </sheetData>
  <mergeCells count="11">
    <mergeCell ref="A4:B4"/>
    <mergeCell ref="G4:H4"/>
    <mergeCell ref="E4:F4"/>
    <mergeCell ref="A7:H7"/>
    <mergeCell ref="A2:H2"/>
    <mergeCell ref="C5:D5"/>
    <mergeCell ref="A5:B5"/>
    <mergeCell ref="G5:H5"/>
    <mergeCell ref="E5:F5"/>
    <mergeCell ref="A19:H19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3" customWidth="1" min="3" max="3"/>
    <col width="10" customWidth="1" min="4" max="4"/>
    <col width="13" customWidth="1" min="5" max="5"/>
    <col width="13" customWidth="1" min="6" max="6"/>
    <col width="10" customWidth="1" min="7" max="7"/>
    <col width="13" customWidth="1" min="8" max="8"/>
  </cols>
  <sheetData>
    <row r="2" ht="42" customHeight="1">
      <c r="A2" s="37" t="inlineStr">
        <is>
          <t>🔥 STEAM MONEY &amp; FORÇA DO ADVERSÁRIO (SOS)</t>
        </is>
      </c>
    </row>
    <row r="4" ht="26" customHeight="1">
      <c r="A4" s="38" t="inlineStr">
        <is>
          <t>MONITORAMENTO STEAM — APOSTAS ATIVAS</t>
        </is>
      </c>
    </row>
    <row r="5" ht="24" customHeight="1">
      <c r="A5" s="27" t="inlineStr">
        <is>
          <t>Jogo</t>
        </is>
      </c>
      <c r="B5" s="27" t="inlineStr">
        <is>
          <t>Horário</t>
        </is>
      </c>
      <c r="C5" s="27" t="inlineStr">
        <is>
          <t>Odd Abertura</t>
        </is>
      </c>
      <c r="D5" s="27" t="inlineStr">
        <is>
          <t>Odd Atual</t>
        </is>
      </c>
      <c r="E5" s="27" t="inlineStr">
        <is>
          <t>Steam%</t>
        </is>
      </c>
      <c r="F5" s="27" t="inlineStr">
        <is>
          <t>Direção</t>
        </is>
      </c>
      <c r="G5" s="27" t="inlineStr">
        <is>
          <t>Consenso%</t>
        </is>
      </c>
      <c r="H5" s="27" t="inlineStr">
        <is>
          <t>Status</t>
        </is>
      </c>
    </row>
    <row r="6" ht="22" customHeight="1">
      <c r="A6" s="16" t="inlineStr">
        <is>
          <t>Aston Villa vs West Ham</t>
        </is>
      </c>
      <c r="B6" s="17" t="inlineStr">
        <is>
          <t>15:00</t>
        </is>
      </c>
      <c r="C6" s="17" t="n">
        <v>2.02</v>
      </c>
      <c r="D6" s="17" t="n">
        <v>1.98</v>
      </c>
      <c r="E6" s="25" t="inlineStr">
        <is>
          <t>-2.0%</t>
        </is>
      </c>
      <c r="F6" s="17" t="inlineStr">
        <is>
          <t>↓ Casa</t>
        </is>
      </c>
      <c r="G6" s="17" t="inlineStr">
        <is>
          <t>72%</t>
        </is>
      </c>
      <c r="H6" s="25" t="inlineStr">
        <is>
          <t>CONFIRMA</t>
        </is>
      </c>
    </row>
    <row r="7" ht="22" customHeight="1">
      <c r="A7" s="18" t="inlineStr">
        <is>
          <t>Real Madrid vs Atletico</t>
        </is>
      </c>
      <c r="B7" s="19" t="inlineStr">
        <is>
          <t>21:00</t>
        </is>
      </c>
      <c r="C7" s="19" t="n">
        <v>1.98</v>
      </c>
      <c r="D7" s="19" t="n">
        <v>1.92</v>
      </c>
      <c r="E7" s="25" t="inlineStr">
        <is>
          <t>-3.0%</t>
        </is>
      </c>
      <c r="F7" s="19" t="inlineStr">
        <is>
          <t>↓ Casa</t>
        </is>
      </c>
      <c r="G7" s="19" t="inlineStr">
        <is>
          <t>85%</t>
        </is>
      </c>
      <c r="H7" s="25" t="inlineStr">
        <is>
          <t>CONFIRMA</t>
        </is>
      </c>
    </row>
    <row r="8" ht="22" customHeight="1">
      <c r="A8" s="16" t="inlineStr">
        <is>
          <t>Lyon vs AS Monaco</t>
        </is>
      </c>
      <c r="B8" s="17" t="inlineStr">
        <is>
          <t>19:00</t>
        </is>
      </c>
      <c r="C8" s="17" t="n">
        <v>2.82</v>
      </c>
      <c r="D8" s="17" t="n">
        <v>2.85</v>
      </c>
      <c r="E8" s="22" t="inlineStr">
        <is>
          <t>+1.1%</t>
        </is>
      </c>
      <c r="F8" s="17" t="inlineStr">
        <is>
          <t>↑ Casa</t>
        </is>
      </c>
      <c r="G8" s="17" t="inlineStr">
        <is>
          <t>45%</t>
        </is>
      </c>
      <c r="H8" s="60" t="inlineStr">
        <is>
          <t>NEUTRO</t>
        </is>
      </c>
    </row>
    <row r="11" ht="26" customHeight="1">
      <c r="A11" s="14" t="inlineStr">
        <is>
          <t>PERFORMANCE COM vs SEM STEAM POSITIVO</t>
        </is>
      </c>
    </row>
    <row r="12" ht="24" customHeight="1">
      <c r="A12" s="15" t="inlineStr">
        <is>
          <t>Categoria</t>
        </is>
      </c>
      <c r="B12" s="15" t="inlineStr">
        <is>
          <t>Apostas</t>
        </is>
      </c>
      <c r="C12" s="15" t="inlineStr">
        <is>
          <t>Greens</t>
        </is>
      </c>
      <c r="D12" s="15" t="inlineStr">
        <is>
          <t>WR%</t>
        </is>
      </c>
      <c r="E12" s="15" t="inlineStr">
        <is>
          <t>ROI%</t>
        </is>
      </c>
      <c r="F12" s="15" t="inlineStr">
        <is>
          <t>CLV Médio</t>
        </is>
      </c>
      <c r="G12" s="15" t="inlineStr">
        <is>
          <t>Brier</t>
        </is>
      </c>
    </row>
    <row r="13" ht="22" customHeight="1">
      <c r="A13" s="61" t="inlineStr">
        <is>
          <t>Steam Positivo (&gt;3%)</t>
        </is>
      </c>
      <c r="B13" s="53" t="n">
        <v>4</v>
      </c>
      <c r="C13" s="53" t="n">
        <v>4</v>
      </c>
      <c r="D13" s="53" t="inlineStr">
        <is>
          <t>100.0%</t>
        </is>
      </c>
      <c r="E13" s="53" t="inlineStr">
        <is>
          <t>0.96%</t>
        </is>
      </c>
      <c r="F13" s="53" t="inlineStr">
        <is>
          <t>-2.57%</t>
        </is>
      </c>
      <c r="G13" s="53" t="inlineStr">
        <is>
          <t>0.1293</t>
        </is>
      </c>
    </row>
    <row r="14" ht="22" customHeight="1">
      <c r="A14" s="16" t="inlineStr">
        <is>
          <t>Neutro (-3% a 3%)</t>
        </is>
      </c>
      <c r="B14" s="17" t="n">
        <v>5</v>
      </c>
      <c r="C14" s="17" t="n">
        <v>3</v>
      </c>
      <c r="D14" s="17" t="inlineStr">
        <is>
          <t>60.0%</t>
        </is>
      </c>
      <c r="E14" s="17" t="inlineStr">
        <is>
          <t>0.14%</t>
        </is>
      </c>
      <c r="F14" s="17" t="inlineStr">
        <is>
          <t>-2.45%</t>
        </is>
      </c>
      <c r="G14" s="17" t="inlineStr">
        <is>
          <t>0.2303</t>
        </is>
      </c>
    </row>
    <row r="17" ht="26" customHeight="1">
      <c r="A17" s="14" t="inlineStr">
        <is>
          <t>STRENGTH OF SCHEDULE (SOS) — xG AJUSTADO POR FORÇA DO ADVERSÁRIO</t>
        </is>
      </c>
    </row>
    <row r="18" ht="24" customHeight="1">
      <c r="A18" s="15" t="inlineStr">
        <is>
          <t>Time</t>
        </is>
      </c>
      <c r="B18" s="15" t="inlineStr">
        <is>
          <t>Liga</t>
        </is>
      </c>
      <c r="C18" s="15" t="inlineStr">
        <is>
          <t>xG Bruto Atq</t>
        </is>
      </c>
      <c r="D18" s="15" t="inlineStr">
        <is>
          <t>SOS Atq</t>
        </is>
      </c>
      <c r="E18" s="15" t="inlineStr">
        <is>
          <t>xG Ajust Atq</t>
        </is>
      </c>
      <c r="F18" s="15" t="inlineStr">
        <is>
          <t>xG Bruto Def</t>
        </is>
      </c>
      <c r="G18" s="15" t="inlineStr">
        <is>
          <t>SOS Def</t>
        </is>
      </c>
      <c r="H18" s="15" t="inlineStr">
        <is>
          <t>xG Ajust Def</t>
        </is>
      </c>
    </row>
    <row r="19" ht="20" customHeight="1">
      <c r="A19" s="16" t="inlineStr">
        <is>
          <t>Arsenal</t>
        </is>
      </c>
      <c r="B19" s="16" t="inlineStr">
        <is>
          <t>Premier League</t>
        </is>
      </c>
      <c r="C19" s="17" t="n">
        <v>2.1</v>
      </c>
      <c r="D19" s="17" t="n">
        <v>1.12</v>
      </c>
      <c r="E19" s="17" t="n">
        <v>2.35</v>
      </c>
      <c r="F19" s="17" t="n">
        <v>0.8</v>
      </c>
      <c r="G19" s="17" t="n">
        <v>0.95</v>
      </c>
      <c r="H19" s="17" t="n">
        <v>0.76</v>
      </c>
    </row>
    <row r="20" ht="20" customHeight="1">
      <c r="A20" s="18" t="inlineStr">
        <is>
          <t>Liverpool</t>
        </is>
      </c>
      <c r="B20" s="18" t="inlineStr">
        <is>
          <t>Premier League</t>
        </is>
      </c>
      <c r="C20" s="19" t="n">
        <v>2.4</v>
      </c>
      <c r="D20" s="19" t="n">
        <v>0.98</v>
      </c>
      <c r="E20" s="19" t="n">
        <v>2.35</v>
      </c>
      <c r="F20" s="19" t="n">
        <v>0.7</v>
      </c>
      <c r="G20" s="19" t="n">
        <v>1.05</v>
      </c>
      <c r="H20" s="19" t="n">
        <v>0.74</v>
      </c>
    </row>
    <row r="21" ht="20" customHeight="1">
      <c r="A21" s="16" t="inlineStr">
        <is>
          <t>Bayern Munich</t>
        </is>
      </c>
      <c r="B21" s="16" t="inlineStr">
        <is>
          <t>Bundesliga</t>
        </is>
      </c>
      <c r="C21" s="17" t="n">
        <v>2.2</v>
      </c>
      <c r="D21" s="17" t="n">
        <v>1.05</v>
      </c>
      <c r="E21" s="17" t="n">
        <v>2.31</v>
      </c>
      <c r="F21" s="17" t="n">
        <v>0.8</v>
      </c>
      <c r="G21" s="17" t="n">
        <v>0.92</v>
      </c>
      <c r="H21" s="17" t="n">
        <v>0.74</v>
      </c>
    </row>
    <row r="22" ht="20" customHeight="1">
      <c r="A22" s="18" t="inlineStr">
        <is>
          <t>Barcelona</t>
        </is>
      </c>
      <c r="B22" s="18" t="inlineStr">
        <is>
          <t>La Liga</t>
        </is>
      </c>
      <c r="C22" s="19" t="n">
        <v>2.3</v>
      </c>
      <c r="D22" s="19" t="n">
        <v>1.08</v>
      </c>
      <c r="E22" s="19" t="n">
        <v>2.48</v>
      </c>
      <c r="F22" s="19" t="n">
        <v>0.9</v>
      </c>
      <c r="G22" s="19" t="n">
        <v>0.88</v>
      </c>
      <c r="H22" s="19" t="n">
        <v>0.79</v>
      </c>
    </row>
    <row r="23" ht="20" customHeight="1">
      <c r="A23" s="16" t="inlineStr">
        <is>
          <t>Palmeiras</t>
        </is>
      </c>
      <c r="B23" s="16" t="inlineStr">
        <is>
          <t>Brasileirao</t>
        </is>
      </c>
      <c r="C23" s="17" t="n">
        <v>1.8</v>
      </c>
      <c r="D23" s="17" t="n">
        <v>1.02</v>
      </c>
      <c r="E23" s="17" t="n">
        <v>1.84</v>
      </c>
      <c r="F23" s="17" t="n">
        <v>1.1</v>
      </c>
      <c r="G23" s="17" t="n">
        <v>0.97</v>
      </c>
      <c r="H23" s="17" t="n">
        <v>1.07</v>
      </c>
    </row>
  </sheetData>
  <mergeCells count="4">
    <mergeCell ref="A4:H4"/>
    <mergeCell ref="A11:H11"/>
    <mergeCell ref="A2:H2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2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12" customWidth="1" min="4" max="4"/>
    <col width="10" customWidth="1" min="5" max="5"/>
    <col width="16" customWidth="1" min="6" max="6"/>
    <col width="13" customWidth="1" min="7" max="7"/>
    <col width="13" customWidth="1" min="8" max="8"/>
  </cols>
  <sheetData>
    <row r="2" ht="42" customHeight="1">
      <c r="A2" s="37" t="inlineStr">
        <is>
          <t>👁️ MONITORAMENTO JANELA EXPANDIDA (72H)</t>
        </is>
      </c>
    </row>
    <row r="4" ht="26" customHeight="1">
      <c r="A4" s="38" t="inlineStr">
        <is>
          <t>MODOS DE MONITORAMENTO</t>
        </is>
      </c>
    </row>
    <row r="5" ht="22" customHeight="1">
      <c r="A5" s="62" t="inlineStr">
        <is>
          <t>👁️ OBSERVAÇÃO (&gt;12h)</t>
        </is>
      </c>
      <c r="B5" s="85" t="n"/>
      <c r="C5" s="86" t="n"/>
      <c r="D5" s="63" t="inlineStr">
        <is>
          <t>Registra odds silenciosamente — sem gerar sinais</t>
        </is>
      </c>
      <c r="E5" s="85" t="n"/>
      <c r="F5" s="85" t="n"/>
      <c r="G5" s="85" t="n"/>
      <c r="H5" s="86" t="n"/>
    </row>
    <row r="6" ht="22" customHeight="1">
      <c r="A6" s="64" t="inlineStr">
        <is>
          <t>⚡ ATIVO (≤12h)</t>
        </is>
      </c>
      <c r="B6" s="85" t="n"/>
      <c r="C6" s="86" t="n"/>
      <c r="D6" s="65" t="inlineStr">
        <is>
          <t>Modelo analisando — pode gerar sinal a qualquer momento</t>
        </is>
      </c>
      <c r="E6" s="85" t="n"/>
      <c r="F6" s="85" t="n"/>
      <c r="G6" s="85" t="n"/>
      <c r="H6" s="86" t="n"/>
    </row>
    <row r="7" ht="22" customHeight="1">
      <c r="A7" s="66" t="inlineStr">
        <is>
          <t>🎯 FECHANDO (≤2h)</t>
        </is>
      </c>
      <c r="B7" s="85" t="n"/>
      <c r="C7" s="86" t="n"/>
      <c r="D7" s="63" t="inlineStr">
        <is>
          <t>Janela crítica — sinal iminente se filtros passarem</t>
        </is>
      </c>
      <c r="E7" s="85" t="n"/>
      <c r="F7" s="85" t="n"/>
      <c r="G7" s="85" t="n"/>
      <c r="H7" s="86" t="n"/>
    </row>
    <row r="9" ht="26" customHeight="1">
      <c r="A9" s="14" t="inlineStr">
        <is>
          <t>JOGOS EM MONITORAMENTO AGORA</t>
        </is>
      </c>
    </row>
    <row r="10" ht="24" customHeight="1">
      <c r="A10" s="15" t="inlineStr">
        <is>
          <t>Jogo</t>
        </is>
      </c>
      <c r="B10" s="15" t="inlineStr">
        <is>
          <t>Liga</t>
        </is>
      </c>
      <c r="C10" s="15" t="inlineStr">
        <is>
          <t>Data/Hora</t>
        </is>
      </c>
      <c r="D10" s="15" t="inlineStr">
        <is>
          <t>Faltam(h)</t>
        </is>
      </c>
      <c r="E10" s="15" t="inlineStr">
        <is>
          <t>Janela</t>
        </is>
      </c>
      <c r="F10" s="15" t="inlineStr">
        <is>
          <t>Modo</t>
        </is>
      </c>
      <c r="G10" s="15" t="inlineStr">
        <is>
          <t>Odd Abertura</t>
        </is>
      </c>
      <c r="H10" s="15" t="inlineStr">
        <is>
          <t>Bookmakers</t>
        </is>
      </c>
    </row>
    <row r="11" ht="22" customHeight="1">
      <c r="A11" s="16" t="inlineStr">
        <is>
          <t>Real Madrid vs Atletico Madrid</t>
        </is>
      </c>
      <c r="B11" s="17" t="inlineStr">
        <is>
          <t>La Liga</t>
        </is>
      </c>
      <c r="C11" s="17" t="inlineStr">
        <is>
          <t>22/03 21:00</t>
        </is>
      </c>
      <c r="D11" s="17" t="inlineStr">
        <is>
          <t>3.2h</t>
        </is>
      </c>
      <c r="E11" s="17" t="inlineStr">
        <is>
          <t>72h</t>
        </is>
      </c>
      <c r="F11" s="22" t="inlineStr">
        <is>
          <t>⚡ ATIVO</t>
        </is>
      </c>
      <c r="G11" s="17" t="n">
        <v>1.98</v>
      </c>
      <c r="H11" s="17" t="n">
        <v>21</v>
      </c>
    </row>
    <row r="12" ht="22" customHeight="1">
      <c r="A12" s="18" t="inlineStr">
        <is>
          <t>Bayern Munich vs Union Berlin</t>
        </is>
      </c>
      <c r="B12" s="19" t="inlineStr">
        <is>
          <t>Bundesliga</t>
        </is>
      </c>
      <c r="C12" s="19" t="inlineStr">
        <is>
          <t>22/03 15:30</t>
        </is>
      </c>
      <c r="D12" s="19" t="inlineStr">
        <is>
          <t>8.1h</t>
        </is>
      </c>
      <c r="E12" s="19" t="inlineStr">
        <is>
          <t>72h</t>
        </is>
      </c>
      <c r="F12" s="67" t="inlineStr">
        <is>
          <t>👁️ OBSERVAÇÃO</t>
        </is>
      </c>
      <c r="G12" s="19" t="n">
        <v>1.16</v>
      </c>
      <c r="H12" s="19" t="n">
        <v>25</v>
      </c>
    </row>
    <row r="13" ht="22" customHeight="1">
      <c r="A13" s="16" t="inlineStr">
        <is>
          <t>Brighton vs Liverpool</t>
        </is>
      </c>
      <c r="B13" s="17" t="inlineStr">
        <is>
          <t>Premier League</t>
        </is>
      </c>
      <c r="C13" s="17" t="inlineStr">
        <is>
          <t>22/03 15:00</t>
        </is>
      </c>
      <c r="D13" s="17" t="inlineStr">
        <is>
          <t>3.5h</t>
        </is>
      </c>
      <c r="E13" s="17" t="inlineStr">
        <is>
          <t>72h</t>
        </is>
      </c>
      <c r="F13" s="22" t="inlineStr">
        <is>
          <t>⚡ ATIVO</t>
        </is>
      </c>
      <c r="G13" s="17" t="n">
        <v>3.14</v>
      </c>
      <c r="H13" s="17" t="n">
        <v>25</v>
      </c>
    </row>
    <row r="14" ht="22" customHeight="1">
      <c r="A14" s="18" t="inlineStr">
        <is>
          <t>Barcelona vs Rayo Vallecano</t>
        </is>
      </c>
      <c r="B14" s="19" t="inlineStr">
        <is>
          <t>La Liga</t>
        </is>
      </c>
      <c r="C14" s="19" t="inlineStr">
        <is>
          <t>23/03 21:00</t>
        </is>
      </c>
      <c r="D14" s="19" t="inlineStr">
        <is>
          <t>27.4h</t>
        </is>
      </c>
      <c r="E14" s="19" t="inlineStr">
        <is>
          <t>72h</t>
        </is>
      </c>
      <c r="F14" s="67" t="inlineStr">
        <is>
          <t>👁️ OBSERVAÇÃO</t>
        </is>
      </c>
      <c r="G14" s="19" t="n">
        <v>1.24</v>
      </c>
      <c r="H14" s="19" t="n">
        <v>22</v>
      </c>
    </row>
    <row r="15" ht="22" customHeight="1">
      <c r="A15" s="16" t="inlineStr">
        <is>
          <t>Juventus vs Sassuolo</t>
        </is>
      </c>
      <c r="B15" s="17" t="inlineStr">
        <is>
          <t>Serie A</t>
        </is>
      </c>
      <c r="C15" s="17" t="inlineStr">
        <is>
          <t>23/03 20:45</t>
        </is>
      </c>
      <c r="D15" s="17" t="inlineStr">
        <is>
          <t>29.2h</t>
        </is>
      </c>
      <c r="E15" s="17" t="inlineStr">
        <is>
          <t>48h</t>
        </is>
      </c>
      <c r="F15" s="67" t="inlineStr">
        <is>
          <t>👁️ OBSERVAÇÃO</t>
        </is>
      </c>
      <c r="G15" s="17" t="n">
        <v>1.33</v>
      </c>
      <c r="H15" s="17" t="n">
        <v>25</v>
      </c>
    </row>
    <row r="16" ht="22" customHeight="1">
      <c r="A16" s="18" t="inlineStr">
        <is>
          <t>Nice vs Paris Saint Germain</t>
        </is>
      </c>
      <c r="B16" s="19" t="inlineStr">
        <is>
          <t>Ligue 1</t>
        </is>
      </c>
      <c r="C16" s="19" t="inlineStr">
        <is>
          <t>23/03 21:00</t>
        </is>
      </c>
      <c r="D16" s="19" t="inlineStr">
        <is>
          <t>30.1h</t>
        </is>
      </c>
      <c r="E16" s="19" t="inlineStr">
        <is>
          <t>72h</t>
        </is>
      </c>
      <c r="F16" s="67" t="inlineStr">
        <is>
          <t>👁️ OBSERVAÇÃO</t>
        </is>
      </c>
      <c r="G16" s="19" t="n">
        <v>8</v>
      </c>
      <c r="H16" s="19" t="n">
        <v>25</v>
      </c>
    </row>
    <row r="18" ht="26" customHeight="1">
      <c r="A18" s="14" t="inlineStr">
        <is>
          <t>📢 ALERTAS DE MONITORAMENTO</t>
        </is>
      </c>
    </row>
    <row r="19" ht="24" customHeight="1">
      <c r="A19" s="15" t="inlineStr">
        <is>
          <t>Hora</t>
        </is>
      </c>
      <c r="B19" s="15" t="inlineStr">
        <is>
          <t>Jogo</t>
        </is>
      </c>
      <c r="C19" s="15" t="inlineStr">
        <is>
          <t>Evento</t>
        </is>
      </c>
    </row>
    <row r="20" ht="22" customHeight="1">
      <c r="A20" s="68" t="inlineStr">
        <is>
          <t>19:00</t>
        </is>
      </c>
      <c r="B20" s="69" t="inlineStr">
        <is>
          <t>Real Madrid vs Atletico</t>
        </is>
      </c>
      <c r="C20" s="64" t="inlineStr">
        <is>
          <t>⚡ Jogo entrou em modo ATIVO</t>
        </is>
      </c>
    </row>
    <row r="21" ht="22" customHeight="1">
      <c r="A21" s="21" t="inlineStr">
        <is>
          <t>18:30</t>
        </is>
      </c>
      <c r="B21" s="70" t="inlineStr">
        <is>
          <t>Bayern vs Union Berlin</t>
        </is>
      </c>
      <c r="C21" s="62" t="inlineStr">
        <is>
          <t>👁️ Odd abertura registrada: 1.16</t>
        </is>
      </c>
    </row>
    <row r="22" ht="22" customHeight="1">
      <c r="A22" s="71" t="inlineStr">
        <is>
          <t>18:00</t>
        </is>
      </c>
      <c r="B22" s="72" t="inlineStr">
        <is>
          <t>Brighton vs Liverpool</t>
        </is>
      </c>
      <c r="C22" s="66" t="inlineStr">
        <is>
          <t>🔥 Steam +2.1% detectado</t>
        </is>
      </c>
    </row>
    <row r="23" ht="22" customHeight="1">
      <c r="A23" s="21" t="inlineStr">
        <is>
          <t>17:30</t>
        </is>
      </c>
      <c r="B23" s="70" t="inlineStr">
        <is>
          <t>Nice vs PSG</t>
        </is>
      </c>
      <c r="C23" s="62" t="inlineStr">
        <is>
          <t>👁️ Jogo entrou em janela de observação 72h</t>
        </is>
      </c>
    </row>
  </sheetData>
  <mergeCells count="10">
    <mergeCell ref="A9:H9"/>
    <mergeCell ref="A4:H4"/>
    <mergeCell ref="A18:H18"/>
    <mergeCell ref="D7:H7"/>
    <mergeCell ref="D6:H6"/>
    <mergeCell ref="A5:C5"/>
    <mergeCell ref="A2:H2"/>
    <mergeCell ref="A6:C6"/>
    <mergeCell ref="D5:H5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2026-03-19T23:30:32Z</dcterms:created>
  <dcterms:modified xmlns:dcterms="http://purl.org/dc/terms/" xmlns:xsi="http://www.w3.org/2001/XMLSchema-instance" xsi:type="dcterms:W3CDTF">2026-03-23T02:00:28Z</dcterms:modified>
</cp:coreProperties>
</file>